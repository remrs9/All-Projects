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hidePivotFieldList="1"/>
  <mc:AlternateContent xmlns:mc="http://schemas.openxmlformats.org/markup-compatibility/2006">
    <mc:Choice Requires="x15">
      <x15ac:absPath xmlns:x15ac="http://schemas.microsoft.com/office/spreadsheetml/2010/11/ac" url="https://wss.inside.ups.com/sites/APACCL/Industrial Engineering/Shared Documents/TW CL Database/Audit/CMI - Cost Management Initiative/"/>
    </mc:Choice>
  </mc:AlternateContent>
  <bookViews>
    <workbookView xWindow="-110" yWindow="-110" windowWidth="19420" windowHeight="10420"/>
  </bookViews>
  <sheets>
    <sheet name="TW" sheetId="6" r:id="rId1"/>
    <sheet name="Index" sheetId="19" r:id="rId2"/>
    <sheet name="Check" sheetId="17" r:id="rId3"/>
    <sheet name="AU Tpt summary" sheetId="15" r:id="rId4"/>
    <sheet name="Ver" sheetId="16" r:id="rId5"/>
    <sheet name="APAC" sheetId="2" r:id="rId6"/>
    <sheet name="target" sheetId="18" state="hidden" r:id="rId7"/>
    <sheet name="Effectiveness" sheetId="14" state="hidden" r:id="rId8"/>
    <sheet name="CN" sheetId="10" r:id="rId9"/>
    <sheet name="HK" sheetId="8" r:id="rId10"/>
    <sheet name="JP" sheetId="5" r:id="rId11"/>
    <sheet name="KR" sheetId="9" r:id="rId12"/>
    <sheet name="AU" sheetId="7" r:id="rId13"/>
    <sheet name="PH" sheetId="12" r:id="rId14"/>
    <sheet name="MY" sheetId="13" r:id="rId15"/>
    <sheet name="SG" sheetId="1" r:id="rId16"/>
    <sheet name="TH" sheetId="11" r:id="rId17"/>
  </sheets>
  <definedNames>
    <definedName name="Slicer_Quarter">#N/A</definedName>
    <definedName name="Slicer_Quarter1">#N/A</definedName>
    <definedName name="Slicer_Quarter11">#N/A</definedName>
    <definedName name="Slicer_Quarter2">#N/A</definedName>
  </definedNames>
  <calcPr calcId="191029"/>
  <pivotCaches>
    <pivotCache cacheId="9128" r:id="rId18"/>
  </pivotCaches>
  <extLst>
    <ext xmlns:x14="http://schemas.microsoft.com/office/spreadsheetml/2009/9/main" uri="{876F7934-8845-4945-9796-88D515C7AA90}">
      <x14:pivotCaches>
        <pivotCache cacheId="9129" r:id="rId19"/>
        <pivotCache cacheId="9130" r:id="rId20"/>
        <pivotCache cacheId="9131" r:id="rId21"/>
      </x14:pivotCaches>
    </ex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7" i="6" l="1"/>
  <c r="P9" i="6"/>
  <c r="S9" i="6"/>
  <c r="V9" i="6"/>
  <c r="Y9" i="6"/>
  <c r="AB9" i="6"/>
  <c r="AE9" i="6"/>
  <c r="AH9" i="6"/>
  <c r="AK9" i="6"/>
  <c r="AN9" i="6"/>
  <c r="AQ9" i="6"/>
  <c r="AT9" i="6"/>
  <c r="M9" i="6"/>
  <c r="AX8" i="6"/>
  <c r="AY8" i="6"/>
  <c r="AV8" i="6"/>
  <c r="AR8" i="6"/>
  <c r="AT8" i="6"/>
  <c r="AO8" i="6"/>
  <c r="AQ8" i="6"/>
  <c r="AL8" i="6"/>
  <c r="AN8" i="6"/>
  <c r="AI8" i="6"/>
  <c r="AK8" i="6"/>
  <c r="AF8" i="6"/>
  <c r="AH8" i="6"/>
  <c r="AC8" i="6"/>
  <c r="AE8" i="6"/>
  <c r="Z8" i="6"/>
  <c r="AB8" i="6"/>
  <c r="W8" i="6"/>
  <c r="Y8" i="6"/>
  <c r="T8" i="6"/>
  <c r="V8" i="6"/>
  <c r="S8" i="6"/>
  <c r="P8" i="6"/>
  <c r="M8" i="6"/>
  <c r="AX7" i="6"/>
  <c r="AY7" i="6"/>
  <c r="AV7" i="6"/>
  <c r="AU7" i="6"/>
  <c r="AT7" i="6"/>
  <c r="AQ7" i="6"/>
  <c r="AN7" i="6"/>
  <c r="AK7" i="6"/>
  <c r="AH7" i="6"/>
  <c r="AE7" i="6"/>
  <c r="AB7" i="6"/>
  <c r="Y7" i="6"/>
  <c r="V7" i="6"/>
  <c r="S7" i="6"/>
  <c r="P7" i="6"/>
  <c r="M7" i="6"/>
  <c r="AU6" i="6"/>
  <c r="AT6" i="6"/>
  <c r="AQ6" i="6"/>
  <c r="AN6" i="6"/>
  <c r="AK6" i="6"/>
  <c r="AH6" i="6"/>
  <c r="AE6" i="6"/>
  <c r="AB6" i="6"/>
  <c r="Y6" i="6"/>
  <c r="V6" i="6"/>
  <c r="S6" i="6"/>
  <c r="P6" i="6"/>
  <c r="AX6" i="6"/>
  <c r="AY6" i="6"/>
  <c r="AX5" i="6"/>
  <c r="AY5" i="6"/>
  <c r="AV5" i="6"/>
  <c r="AT5" i="6"/>
  <c r="AQ5" i="6"/>
  <c r="AL5" i="6"/>
  <c r="AU5" i="6"/>
  <c r="AK5" i="6"/>
  <c r="AH5" i="6"/>
  <c r="AE5" i="6"/>
  <c r="AB5" i="6"/>
  <c r="Y5" i="6"/>
  <c r="V5" i="6"/>
  <c r="S5" i="6"/>
  <c r="P5" i="6"/>
  <c r="M5" i="6"/>
  <c r="J25" i="6"/>
  <c r="J4" i="6"/>
  <c r="AW7" i="6"/>
  <c r="AW5" i="6"/>
  <c r="AV6" i="6"/>
  <c r="AW6" i="6"/>
  <c r="AN5" i="6"/>
  <c r="AU8" i="6"/>
  <c r="AW8" i="6"/>
  <c r="M6" i="6"/>
  <c r="J3" i="6"/>
  <c r="J2" i="6"/>
  <c r="L24" i="6"/>
  <c r="N24" i="6"/>
  <c r="O24" i="6"/>
  <c r="Q24" i="6"/>
  <c r="R24" i="6"/>
  <c r="Q11" i="2"/>
  <c r="T24" i="6"/>
  <c r="U24" i="6"/>
  <c r="W11" i="2"/>
  <c r="W24" i="6"/>
  <c r="X24" i="6"/>
  <c r="AC11" i="2"/>
  <c r="Z24" i="6"/>
  <c r="AA24" i="6"/>
  <c r="AC24" i="6"/>
  <c r="AD24" i="6"/>
  <c r="AO11" i="2"/>
  <c r="AF24" i="6"/>
  <c r="AG24" i="6"/>
  <c r="AU11" i="2"/>
  <c r="AI24" i="6"/>
  <c r="AJ24" i="6"/>
  <c r="BA11" i="2"/>
  <c r="AL24" i="6"/>
  <c r="AM24" i="6"/>
  <c r="AO24" i="6"/>
  <c r="AP24" i="6"/>
  <c r="BM11" i="2"/>
  <c r="AR24" i="6"/>
  <c r="AS24" i="6"/>
  <c r="K24" i="6"/>
  <c r="J24" i="6"/>
  <c r="K25" i="6"/>
  <c r="AS24" i="11"/>
  <c r="AR24" i="11"/>
  <c r="AT24" i="11"/>
  <c r="AP24" i="11"/>
  <c r="AO24" i="11"/>
  <c r="AQ24" i="11"/>
  <c r="AN24" i="11"/>
  <c r="AM24" i="11"/>
  <c r="AL24" i="11"/>
  <c r="AJ24" i="11"/>
  <c r="AI24" i="11"/>
  <c r="AK24" i="11"/>
  <c r="AG24" i="11"/>
  <c r="AF24" i="11"/>
  <c r="AH24" i="11"/>
  <c r="AD24" i="11"/>
  <c r="AC24" i="11"/>
  <c r="AE24" i="11"/>
  <c r="AB24" i="11"/>
  <c r="AA24" i="11"/>
  <c r="Z24" i="11"/>
  <c r="X24" i="11"/>
  <c r="W24" i="11"/>
  <c r="Y24" i="11"/>
  <c r="U24" i="11"/>
  <c r="T24" i="11"/>
  <c r="V24" i="11"/>
  <c r="R24" i="11"/>
  <c r="Q24" i="11"/>
  <c r="S24" i="11"/>
  <c r="P24" i="11"/>
  <c r="O24" i="11"/>
  <c r="N24" i="11"/>
  <c r="L24" i="11"/>
  <c r="K24" i="11"/>
  <c r="M24" i="11"/>
  <c r="J24" i="11"/>
  <c r="AX23" i="11"/>
  <c r="AY23" i="11"/>
  <c r="AV23" i="11"/>
  <c r="AU23" i="11"/>
  <c r="AW23" i="11"/>
  <c r="AT23" i="11"/>
  <c r="AQ23" i="11"/>
  <c r="AN23" i="11"/>
  <c r="AK23" i="11"/>
  <c r="AH23" i="11"/>
  <c r="AE23" i="11"/>
  <c r="AB23" i="11"/>
  <c r="Y23" i="11"/>
  <c r="V23" i="11"/>
  <c r="S23" i="11"/>
  <c r="P23" i="11"/>
  <c r="M23" i="11"/>
  <c r="AX22" i="11"/>
  <c r="AY22" i="11"/>
  <c r="AV22" i="11"/>
  <c r="AU22" i="11"/>
  <c r="AW22" i="11"/>
  <c r="AT22" i="11"/>
  <c r="AQ22" i="11"/>
  <c r="AN22" i="11"/>
  <c r="AK22" i="11"/>
  <c r="AH22" i="11"/>
  <c r="AE22" i="11"/>
  <c r="AB22" i="11"/>
  <c r="Y22" i="11"/>
  <c r="V22" i="11"/>
  <c r="S22" i="11"/>
  <c r="P22" i="11"/>
  <c r="M22" i="11"/>
  <c r="AX21" i="11"/>
  <c r="AY21" i="11"/>
  <c r="AV21" i="11"/>
  <c r="AU21" i="11"/>
  <c r="AW21" i="11"/>
  <c r="AT21" i="11"/>
  <c r="AQ21" i="11"/>
  <c r="AN21" i="11"/>
  <c r="AK21" i="11"/>
  <c r="AH21" i="11"/>
  <c r="AE21" i="11"/>
  <c r="AB21" i="11"/>
  <c r="Y21" i="11"/>
  <c r="V21" i="11"/>
  <c r="S21" i="11"/>
  <c r="P21" i="11"/>
  <c r="M21" i="11"/>
  <c r="AX20" i="11"/>
  <c r="AY20" i="11"/>
  <c r="AV20" i="11"/>
  <c r="AW20" i="11"/>
  <c r="AU20" i="11"/>
  <c r="AT20" i="11"/>
  <c r="AQ20" i="11"/>
  <c r="AN20" i="11"/>
  <c r="AK20" i="11"/>
  <c r="AH20" i="11"/>
  <c r="AE20" i="11"/>
  <c r="AB20" i="11"/>
  <c r="Y20" i="11"/>
  <c r="V20" i="11"/>
  <c r="S20" i="11"/>
  <c r="P20" i="11"/>
  <c r="M20" i="11"/>
  <c r="AX19" i="11"/>
  <c r="AY19" i="11"/>
  <c r="AV19" i="11"/>
  <c r="AU19" i="11"/>
  <c r="AW19" i="11"/>
  <c r="AT19" i="11"/>
  <c r="AQ19" i="11"/>
  <c r="AN19" i="11"/>
  <c r="AK19" i="11"/>
  <c r="AH19" i="11"/>
  <c r="AE19" i="11"/>
  <c r="AB19" i="11"/>
  <c r="Y19" i="11"/>
  <c r="V19" i="11"/>
  <c r="S19" i="11"/>
  <c r="P19" i="11"/>
  <c r="M19" i="11"/>
  <c r="AY18" i="11"/>
  <c r="AX18" i="11"/>
  <c r="AV18" i="11"/>
  <c r="AW18" i="11"/>
  <c r="AU18" i="11"/>
  <c r="AT18" i="11"/>
  <c r="AQ18" i="11"/>
  <c r="AN18" i="11"/>
  <c r="AK18" i="11"/>
  <c r="AH18" i="11"/>
  <c r="AE18" i="11"/>
  <c r="AB18" i="11"/>
  <c r="Y18" i="11"/>
  <c r="V18" i="11"/>
  <c r="S18" i="11"/>
  <c r="P18" i="11"/>
  <c r="M18" i="11"/>
  <c r="AY17" i="11"/>
  <c r="AX17" i="11"/>
  <c r="AV17" i="11"/>
  <c r="AU17" i="11"/>
  <c r="AW17" i="11"/>
  <c r="AT17" i="11"/>
  <c r="AQ17" i="11"/>
  <c r="AN17" i="11"/>
  <c r="AK17" i="11"/>
  <c r="AH17" i="11"/>
  <c r="AE17" i="11"/>
  <c r="AB17" i="11"/>
  <c r="Y17" i="11"/>
  <c r="V17" i="11"/>
  <c r="S17" i="11"/>
  <c r="P17" i="11"/>
  <c r="M17" i="11"/>
  <c r="AX16" i="11"/>
  <c r="AY16" i="11"/>
  <c r="AW16" i="11"/>
  <c r="AV16" i="11"/>
  <c r="AU16" i="11"/>
  <c r="AT16" i="11"/>
  <c r="AQ16" i="11"/>
  <c r="AN16" i="11"/>
  <c r="AK16" i="11"/>
  <c r="AH16" i="11"/>
  <c r="AE16" i="11"/>
  <c r="AB16" i="11"/>
  <c r="Y16" i="11"/>
  <c r="V16" i="11"/>
  <c r="S16" i="11"/>
  <c r="P16" i="11"/>
  <c r="M16" i="11"/>
  <c r="AY15" i="11"/>
  <c r="AX15" i="11"/>
  <c r="AW15" i="11"/>
  <c r="AV15" i="11"/>
  <c r="AU15" i="11"/>
  <c r="AT15" i="11"/>
  <c r="AQ15" i="11"/>
  <c r="AN15" i="11"/>
  <c r="AK15" i="11"/>
  <c r="AH15" i="11"/>
  <c r="AE15" i="11"/>
  <c r="AB15" i="11"/>
  <c r="Y15" i="11"/>
  <c r="V15" i="11"/>
  <c r="S15" i="11"/>
  <c r="P15" i="11"/>
  <c r="M15" i="11"/>
  <c r="AY14" i="11"/>
  <c r="AX14" i="11"/>
  <c r="AV14" i="11"/>
  <c r="AU14" i="11"/>
  <c r="AW14" i="11"/>
  <c r="AT14" i="11"/>
  <c r="AQ14" i="11"/>
  <c r="AN14" i="11"/>
  <c r="AK14" i="11"/>
  <c r="AH14" i="11"/>
  <c r="AE14" i="11"/>
  <c r="AB14" i="11"/>
  <c r="Y14" i="11"/>
  <c r="V14" i="11"/>
  <c r="S14" i="11"/>
  <c r="P14" i="11"/>
  <c r="M14" i="11"/>
  <c r="AX13" i="11"/>
  <c r="AY13" i="11"/>
  <c r="AW13" i="11"/>
  <c r="AV13" i="11"/>
  <c r="AU13" i="11"/>
  <c r="AT13" i="11"/>
  <c r="AQ13" i="11"/>
  <c r="AN13" i="11"/>
  <c r="AK13" i="11"/>
  <c r="AH13" i="11"/>
  <c r="AE13" i="11"/>
  <c r="AB13" i="11"/>
  <c r="Y13" i="11"/>
  <c r="V13" i="11"/>
  <c r="S13" i="11"/>
  <c r="P13" i="11"/>
  <c r="M13" i="11"/>
  <c r="AY12" i="11"/>
  <c r="AX12" i="11"/>
  <c r="AW12" i="11"/>
  <c r="AV12" i="11"/>
  <c r="AU12" i="11"/>
  <c r="AT12" i="11"/>
  <c r="AQ12" i="11"/>
  <c r="AN12" i="11"/>
  <c r="AK12" i="11"/>
  <c r="AH12" i="11"/>
  <c r="AE12" i="11"/>
  <c r="AB12" i="11"/>
  <c r="Y12" i="11"/>
  <c r="V12" i="11"/>
  <c r="S12" i="11"/>
  <c r="P12" i="11"/>
  <c r="M12" i="11"/>
  <c r="AX11" i="11"/>
  <c r="AY11" i="11"/>
  <c r="AV11" i="11"/>
  <c r="AU11" i="11"/>
  <c r="AW11" i="11"/>
  <c r="AT11" i="11"/>
  <c r="AQ11" i="11"/>
  <c r="AN11" i="11"/>
  <c r="AK11" i="11"/>
  <c r="AH11" i="11"/>
  <c r="AE11" i="11"/>
  <c r="AB11" i="11"/>
  <c r="Y11" i="11"/>
  <c r="V11" i="11"/>
  <c r="S11" i="11"/>
  <c r="P11" i="11"/>
  <c r="M11" i="11"/>
  <c r="AX10" i="11"/>
  <c r="AY10" i="11"/>
  <c r="AV10" i="11"/>
  <c r="AU10" i="11"/>
  <c r="AW10" i="11"/>
  <c r="AT10" i="11"/>
  <c r="AQ10" i="11"/>
  <c r="AN10" i="11"/>
  <c r="AK10" i="11"/>
  <c r="AH10" i="11"/>
  <c r="AE10" i="11"/>
  <c r="AB10" i="11"/>
  <c r="Y10" i="11"/>
  <c r="V10" i="11"/>
  <c r="S10" i="11"/>
  <c r="P10" i="11"/>
  <c r="M10" i="11"/>
  <c r="AX9" i="11"/>
  <c r="AY9" i="11"/>
  <c r="AV9" i="11"/>
  <c r="AW9" i="11"/>
  <c r="AU9" i="11"/>
  <c r="AT9" i="11"/>
  <c r="AQ9" i="11"/>
  <c r="AN9" i="11"/>
  <c r="AK9" i="11"/>
  <c r="AH9" i="11"/>
  <c r="AE9" i="11"/>
  <c r="AB9" i="11"/>
  <c r="Y9" i="11"/>
  <c r="V9" i="11"/>
  <c r="S9" i="11"/>
  <c r="P9" i="11"/>
  <c r="M9" i="11"/>
  <c r="AX8" i="11"/>
  <c r="AY8" i="11"/>
  <c r="AV8" i="11"/>
  <c r="AW8" i="11"/>
  <c r="AU8" i="11"/>
  <c r="AT8" i="11"/>
  <c r="AQ8" i="11"/>
  <c r="AN8" i="11"/>
  <c r="AK8" i="11"/>
  <c r="AH8" i="11"/>
  <c r="AE8" i="11"/>
  <c r="AB8" i="11"/>
  <c r="Y8" i="11"/>
  <c r="V8" i="11"/>
  <c r="S8" i="11"/>
  <c r="P8" i="11"/>
  <c r="M8" i="11"/>
  <c r="AX7" i="11"/>
  <c r="AY7" i="11"/>
  <c r="AV7" i="11"/>
  <c r="AU7" i="11"/>
  <c r="AW7" i="11"/>
  <c r="AT7" i="11"/>
  <c r="AQ7" i="11"/>
  <c r="AN7" i="11"/>
  <c r="AK7" i="11"/>
  <c r="AH7" i="11"/>
  <c r="AE7" i="11"/>
  <c r="AB7" i="11"/>
  <c r="Y7" i="11"/>
  <c r="V7" i="11"/>
  <c r="S7" i="11"/>
  <c r="P7" i="11"/>
  <c r="M7" i="11"/>
  <c r="AY6" i="11"/>
  <c r="AX6" i="11"/>
  <c r="AV6" i="11"/>
  <c r="AW6" i="11"/>
  <c r="AU6" i="11"/>
  <c r="AT6" i="11"/>
  <c r="AQ6" i="11"/>
  <c r="AN6" i="11"/>
  <c r="AK6" i="11"/>
  <c r="AH6" i="11"/>
  <c r="AE6" i="11"/>
  <c r="AB6" i="11"/>
  <c r="Y6" i="11"/>
  <c r="V6" i="11"/>
  <c r="S6" i="11"/>
  <c r="P6" i="11"/>
  <c r="M6" i="11"/>
  <c r="AY5" i="11"/>
  <c r="AX5" i="11"/>
  <c r="AV5" i="11"/>
  <c r="AU5" i="11"/>
  <c r="AW5" i="11"/>
  <c r="AT5" i="11"/>
  <c r="AQ5" i="11"/>
  <c r="AN5" i="11"/>
  <c r="AK5" i="11"/>
  <c r="AH5" i="11"/>
  <c r="AE5" i="11"/>
  <c r="AB5" i="11"/>
  <c r="Y5" i="11"/>
  <c r="V5" i="11"/>
  <c r="S5" i="11"/>
  <c r="P5" i="11"/>
  <c r="M5" i="11"/>
  <c r="AX4" i="11"/>
  <c r="AY4" i="11"/>
  <c r="AW4" i="11"/>
  <c r="AV4" i="11"/>
  <c r="AU4" i="11"/>
  <c r="AT4" i="11"/>
  <c r="AQ4" i="11"/>
  <c r="AN4" i="11"/>
  <c r="AK4" i="11"/>
  <c r="AH4" i="11"/>
  <c r="AE4" i="11"/>
  <c r="AB4" i="11"/>
  <c r="Y4" i="11"/>
  <c r="V4" i="11"/>
  <c r="S4" i="11"/>
  <c r="P4" i="11"/>
  <c r="M4" i="11"/>
  <c r="AY3" i="11"/>
  <c r="AX3" i="11"/>
  <c r="AW3" i="11"/>
  <c r="AV3" i="11"/>
  <c r="AU3" i="11"/>
  <c r="AT3" i="11"/>
  <c r="AQ3" i="11"/>
  <c r="AN3" i="11"/>
  <c r="AK3" i="11"/>
  <c r="AH3" i="11"/>
  <c r="AE3" i="11"/>
  <c r="AB3" i="11"/>
  <c r="Y3" i="11"/>
  <c r="V3" i="11"/>
  <c r="S3" i="11"/>
  <c r="P3" i="11"/>
  <c r="M3" i="11"/>
  <c r="AY2" i="11"/>
  <c r="AX2" i="11"/>
  <c r="AX24" i="11"/>
  <c r="AY24" i="11"/>
  <c r="AV2" i="11"/>
  <c r="AU2" i="11"/>
  <c r="AU24" i="11"/>
  <c r="AT2" i="11"/>
  <c r="AQ2" i="11"/>
  <c r="AN2" i="11"/>
  <c r="AK2" i="11"/>
  <c r="AH2" i="11"/>
  <c r="AE2" i="11"/>
  <c r="AB2" i="11"/>
  <c r="Y2" i="11"/>
  <c r="V2" i="11"/>
  <c r="S2" i="11"/>
  <c r="P2" i="11"/>
  <c r="M2" i="11"/>
  <c r="AG25" i="1"/>
  <c r="AS24" i="1"/>
  <c r="AR24" i="1"/>
  <c r="AT24" i="1"/>
  <c r="AP24" i="1"/>
  <c r="AO24" i="1"/>
  <c r="AQ24" i="1"/>
  <c r="AM24" i="1"/>
  <c r="AL24" i="1"/>
  <c r="AN24" i="1"/>
  <c r="AJ24" i="1"/>
  <c r="AK24" i="1"/>
  <c r="AI24" i="1"/>
  <c r="AG24" i="1"/>
  <c r="AF24" i="1"/>
  <c r="AH24" i="1"/>
  <c r="AD24" i="1"/>
  <c r="AC24" i="1"/>
  <c r="AE24" i="1"/>
  <c r="AA24" i="1"/>
  <c r="Z24" i="1"/>
  <c r="AB24" i="1"/>
  <c r="X24" i="1"/>
  <c r="Y24" i="1"/>
  <c r="W24" i="1"/>
  <c r="U24" i="1"/>
  <c r="T24" i="1"/>
  <c r="V24" i="1"/>
  <c r="R24" i="1"/>
  <c r="Q24" i="1"/>
  <c r="S24" i="1"/>
  <c r="O24" i="1"/>
  <c r="N24" i="1"/>
  <c r="P24" i="1"/>
  <c r="L24" i="1"/>
  <c r="M24" i="1"/>
  <c r="K24" i="1"/>
  <c r="J24" i="1"/>
  <c r="AX23" i="1"/>
  <c r="AY23" i="1"/>
  <c r="AV23" i="1"/>
  <c r="AU23" i="1"/>
  <c r="AW23" i="1"/>
  <c r="AT23" i="1"/>
  <c r="AQ23" i="1"/>
  <c r="AN23" i="1"/>
  <c r="AK23" i="1"/>
  <c r="AH23" i="1"/>
  <c r="AE23" i="1"/>
  <c r="AB23" i="1"/>
  <c r="Y23" i="1"/>
  <c r="V23" i="1"/>
  <c r="S23" i="1"/>
  <c r="P23" i="1"/>
  <c r="M23" i="1"/>
  <c r="AX22" i="1"/>
  <c r="AY22" i="1"/>
  <c r="AW22" i="1"/>
  <c r="AV22" i="1"/>
  <c r="AU22" i="1"/>
  <c r="AT22" i="1"/>
  <c r="AQ22" i="1"/>
  <c r="AN22" i="1"/>
  <c r="AK22" i="1"/>
  <c r="AH22" i="1"/>
  <c r="AE22" i="1"/>
  <c r="AB22" i="1"/>
  <c r="Y22" i="1"/>
  <c r="V22" i="1"/>
  <c r="S22" i="1"/>
  <c r="P22" i="1"/>
  <c r="M22" i="1"/>
  <c r="AY21" i="1"/>
  <c r="AX21" i="1"/>
  <c r="AV21" i="1"/>
  <c r="AW21" i="1"/>
  <c r="AU21" i="1"/>
  <c r="AT21" i="1"/>
  <c r="AQ21" i="1"/>
  <c r="AN21" i="1"/>
  <c r="AK21" i="1"/>
  <c r="AH21" i="1"/>
  <c r="AE21" i="1"/>
  <c r="AB21" i="1"/>
  <c r="Y21" i="1"/>
  <c r="V21" i="1"/>
  <c r="S21" i="1"/>
  <c r="P21" i="1"/>
  <c r="M21" i="1"/>
  <c r="AX20" i="1"/>
  <c r="AY20" i="1"/>
  <c r="AV20" i="1"/>
  <c r="AU20" i="1"/>
  <c r="AW20" i="1"/>
  <c r="AT20" i="1"/>
  <c r="AQ20" i="1"/>
  <c r="AN20" i="1"/>
  <c r="AK20" i="1"/>
  <c r="AH20" i="1"/>
  <c r="AE20" i="1"/>
  <c r="AB20" i="1"/>
  <c r="Y20" i="1"/>
  <c r="V20" i="1"/>
  <c r="S20" i="1"/>
  <c r="P20" i="1"/>
  <c r="M20" i="1"/>
  <c r="AX19" i="1"/>
  <c r="AY19" i="1"/>
  <c r="AV19" i="1"/>
  <c r="AU19" i="1"/>
  <c r="AW19" i="1"/>
  <c r="AT19" i="1"/>
  <c r="AQ19" i="1"/>
  <c r="AN19" i="1"/>
  <c r="AK19" i="1"/>
  <c r="AH19" i="1"/>
  <c r="AE19" i="1"/>
  <c r="AB19" i="1"/>
  <c r="Y19" i="1"/>
  <c r="V19" i="1"/>
  <c r="S19" i="1"/>
  <c r="P19" i="1"/>
  <c r="M19" i="1"/>
  <c r="AY18" i="1"/>
  <c r="AX18" i="1"/>
  <c r="AV18" i="1"/>
  <c r="AW18" i="1"/>
  <c r="AU18" i="1"/>
  <c r="AT18" i="1"/>
  <c r="AQ18" i="1"/>
  <c r="AN18" i="1"/>
  <c r="AK18" i="1"/>
  <c r="AH18" i="1"/>
  <c r="AE18" i="1"/>
  <c r="AB18" i="1"/>
  <c r="Y18" i="1"/>
  <c r="V18" i="1"/>
  <c r="S18" i="1"/>
  <c r="P18" i="1"/>
  <c r="M18" i="1"/>
  <c r="AX17" i="1"/>
  <c r="AY17" i="1"/>
  <c r="AV17" i="1"/>
  <c r="AW17" i="1"/>
  <c r="AU17" i="1"/>
  <c r="AT17" i="1"/>
  <c r="AQ17" i="1"/>
  <c r="AN17" i="1"/>
  <c r="AK17" i="1"/>
  <c r="AH17" i="1"/>
  <c r="AE17" i="1"/>
  <c r="AB17" i="1"/>
  <c r="Y17" i="1"/>
  <c r="V17" i="1"/>
  <c r="S17" i="1"/>
  <c r="P17" i="1"/>
  <c r="M17" i="1"/>
  <c r="AX16" i="1"/>
  <c r="AY16" i="1"/>
  <c r="AW16" i="1"/>
  <c r="AV16" i="1"/>
  <c r="AU16" i="1"/>
  <c r="AT16" i="1"/>
  <c r="AQ16" i="1"/>
  <c r="AN16" i="1"/>
  <c r="AK16" i="1"/>
  <c r="AH16" i="1"/>
  <c r="AE16" i="1"/>
  <c r="AB16" i="1"/>
  <c r="Y16" i="1"/>
  <c r="V16" i="1"/>
  <c r="S16" i="1"/>
  <c r="P16" i="1"/>
  <c r="M16" i="1"/>
  <c r="AY15" i="1"/>
  <c r="AX15" i="1"/>
  <c r="AV15" i="1"/>
  <c r="AW15" i="1"/>
  <c r="AU15" i="1"/>
  <c r="AT15" i="1"/>
  <c r="AQ15" i="1"/>
  <c r="AN15" i="1"/>
  <c r="AK15" i="1"/>
  <c r="AH15" i="1"/>
  <c r="AE15" i="1"/>
  <c r="AB15" i="1"/>
  <c r="Y15" i="1"/>
  <c r="V15" i="1"/>
  <c r="S15" i="1"/>
  <c r="P15" i="1"/>
  <c r="M15" i="1"/>
  <c r="AY14" i="1"/>
  <c r="AX14" i="1"/>
  <c r="AV14" i="1"/>
  <c r="AU14" i="1"/>
  <c r="AW14" i="1"/>
  <c r="AT14" i="1"/>
  <c r="AQ14" i="1"/>
  <c r="AN14" i="1"/>
  <c r="AK14" i="1"/>
  <c r="AH14" i="1"/>
  <c r="AE14" i="1"/>
  <c r="AB14" i="1"/>
  <c r="Y14" i="1"/>
  <c r="V14" i="1"/>
  <c r="S14" i="1"/>
  <c r="P14" i="1"/>
  <c r="M14" i="1"/>
  <c r="AX13" i="1"/>
  <c r="AY13" i="1"/>
  <c r="AW13" i="1"/>
  <c r="AV13" i="1"/>
  <c r="AU13" i="1"/>
  <c r="AT13" i="1"/>
  <c r="AQ13" i="1"/>
  <c r="AN13" i="1"/>
  <c r="AK13" i="1"/>
  <c r="AH13" i="1"/>
  <c r="AE13" i="1"/>
  <c r="AB13" i="1"/>
  <c r="Y13" i="1"/>
  <c r="V13" i="1"/>
  <c r="S13" i="1"/>
  <c r="P13" i="1"/>
  <c r="M13" i="1"/>
  <c r="AY12" i="1"/>
  <c r="AX12" i="1"/>
  <c r="AW12" i="1"/>
  <c r="AV12" i="1"/>
  <c r="AU12" i="1"/>
  <c r="AT12" i="1"/>
  <c r="AQ12" i="1"/>
  <c r="AN12" i="1"/>
  <c r="AK12" i="1"/>
  <c r="AH12" i="1"/>
  <c r="AE12" i="1"/>
  <c r="AB12" i="1"/>
  <c r="Y12" i="1"/>
  <c r="V12" i="1"/>
  <c r="S12" i="1"/>
  <c r="P12" i="1"/>
  <c r="M12" i="1"/>
  <c r="AX11" i="1"/>
  <c r="AY11" i="1"/>
  <c r="AV11" i="1"/>
  <c r="AU11" i="1"/>
  <c r="AW11" i="1"/>
  <c r="AT11" i="1"/>
  <c r="AQ11" i="1"/>
  <c r="AN11" i="1"/>
  <c r="AK11" i="1"/>
  <c r="AH11" i="1"/>
  <c r="AE11" i="1"/>
  <c r="AB11" i="1"/>
  <c r="Y11" i="1"/>
  <c r="V11" i="1"/>
  <c r="S11" i="1"/>
  <c r="P11" i="1"/>
  <c r="M11" i="1"/>
  <c r="AX10" i="1"/>
  <c r="AY10" i="1"/>
  <c r="AW10" i="1"/>
  <c r="AV10" i="1"/>
  <c r="AU10" i="1"/>
  <c r="AT10" i="1"/>
  <c r="AQ10" i="1"/>
  <c r="AN10" i="1"/>
  <c r="AK10" i="1"/>
  <c r="AH10" i="1"/>
  <c r="AE10" i="1"/>
  <c r="AB10" i="1"/>
  <c r="Y10" i="1"/>
  <c r="V10" i="1"/>
  <c r="S10" i="1"/>
  <c r="P10" i="1"/>
  <c r="M10" i="1"/>
  <c r="AY9" i="1"/>
  <c r="AX9" i="1"/>
  <c r="AV9" i="1"/>
  <c r="AW9" i="1"/>
  <c r="AU9" i="1"/>
  <c r="AT9" i="1"/>
  <c r="AQ9" i="1"/>
  <c r="AN9" i="1"/>
  <c r="AK9" i="1"/>
  <c r="AH9" i="1"/>
  <c r="AE9" i="1"/>
  <c r="AB9" i="1"/>
  <c r="Y9" i="1"/>
  <c r="V9" i="1"/>
  <c r="S9" i="1"/>
  <c r="P9" i="1"/>
  <c r="M9" i="1"/>
  <c r="AX8" i="1"/>
  <c r="AY8" i="1"/>
  <c r="AV8" i="1"/>
  <c r="AU8" i="1"/>
  <c r="AW8" i="1"/>
  <c r="AT8" i="1"/>
  <c r="AQ8" i="1"/>
  <c r="AN8" i="1"/>
  <c r="AK8" i="1"/>
  <c r="AH8" i="1"/>
  <c r="AE8" i="1"/>
  <c r="AB8" i="1"/>
  <c r="Y8" i="1"/>
  <c r="V8" i="1"/>
  <c r="S8" i="1"/>
  <c r="P8" i="1"/>
  <c r="M8" i="1"/>
  <c r="AX7" i="1"/>
  <c r="AY7" i="1"/>
  <c r="AV7" i="1"/>
  <c r="AU7" i="1"/>
  <c r="AW7" i="1"/>
  <c r="AT7" i="1"/>
  <c r="AQ7" i="1"/>
  <c r="AN7" i="1"/>
  <c r="AK7" i="1"/>
  <c r="AH7" i="1"/>
  <c r="AE7" i="1"/>
  <c r="AB7" i="1"/>
  <c r="Y7" i="1"/>
  <c r="V7" i="1"/>
  <c r="S7" i="1"/>
  <c r="P7" i="1"/>
  <c r="M7" i="1"/>
  <c r="AY6" i="1"/>
  <c r="AX6" i="1"/>
  <c r="AV6" i="1"/>
  <c r="AW6" i="1"/>
  <c r="AU6" i="1"/>
  <c r="AT6" i="1"/>
  <c r="AQ6" i="1"/>
  <c r="AN6" i="1"/>
  <c r="AK6" i="1"/>
  <c r="AH6" i="1"/>
  <c r="AE6" i="1"/>
  <c r="AB6" i="1"/>
  <c r="Y6" i="1"/>
  <c r="V6" i="1"/>
  <c r="S6" i="1"/>
  <c r="P6" i="1"/>
  <c r="M6" i="1"/>
  <c r="AX5" i="1"/>
  <c r="AY5" i="1"/>
  <c r="AV5" i="1"/>
  <c r="AW5" i="1"/>
  <c r="AU5" i="1"/>
  <c r="AT5" i="1"/>
  <c r="AQ5" i="1"/>
  <c r="AN5" i="1"/>
  <c r="AK5" i="1"/>
  <c r="AH5" i="1"/>
  <c r="AE5" i="1"/>
  <c r="AB5" i="1"/>
  <c r="Y5" i="1"/>
  <c r="V5" i="1"/>
  <c r="S5" i="1"/>
  <c r="P5" i="1"/>
  <c r="M5" i="1"/>
  <c r="AX4" i="1"/>
  <c r="AY4" i="1"/>
  <c r="AW4" i="1"/>
  <c r="AV4" i="1"/>
  <c r="AU4" i="1"/>
  <c r="AT4" i="1"/>
  <c r="AQ4" i="1"/>
  <c r="AN4" i="1"/>
  <c r="AK4" i="1"/>
  <c r="AH4" i="1"/>
  <c r="AE4" i="1"/>
  <c r="AB4" i="1"/>
  <c r="Y4" i="1"/>
  <c r="V4" i="1"/>
  <c r="S4" i="1"/>
  <c r="P4" i="1"/>
  <c r="M4" i="1"/>
  <c r="AY3" i="1"/>
  <c r="AX3" i="1"/>
  <c r="AV3" i="1"/>
  <c r="AW3" i="1"/>
  <c r="AU3" i="1"/>
  <c r="AT3" i="1"/>
  <c r="AQ3" i="1"/>
  <c r="AN3" i="1"/>
  <c r="AK3" i="1"/>
  <c r="AH3" i="1"/>
  <c r="AE3" i="1"/>
  <c r="AB3" i="1"/>
  <c r="Y3" i="1"/>
  <c r="V3" i="1"/>
  <c r="S3" i="1"/>
  <c r="P3" i="1"/>
  <c r="M3" i="1"/>
  <c r="AY2" i="1"/>
  <c r="AX2" i="1"/>
  <c r="AV2" i="1"/>
  <c r="AU2" i="1"/>
  <c r="AU24" i="1"/>
  <c r="AT2" i="1"/>
  <c r="AQ2" i="1"/>
  <c r="AN2" i="1"/>
  <c r="AK2" i="1"/>
  <c r="AH2" i="1"/>
  <c r="AE2" i="1"/>
  <c r="AB2" i="1"/>
  <c r="Y2" i="1"/>
  <c r="V2" i="1"/>
  <c r="S2" i="1"/>
  <c r="P2" i="1"/>
  <c r="M2" i="1"/>
  <c r="AT24" i="13"/>
  <c r="AS24" i="13"/>
  <c r="AR24" i="13"/>
  <c r="AP24" i="13"/>
  <c r="AO24" i="13"/>
  <c r="AQ24" i="13"/>
  <c r="AN24" i="13"/>
  <c r="AM24" i="13"/>
  <c r="AL24" i="13"/>
  <c r="AK24" i="13"/>
  <c r="AJ24" i="13"/>
  <c r="AI24" i="13"/>
  <c r="AH24" i="13"/>
  <c r="AG24" i="13"/>
  <c r="AF24" i="13"/>
  <c r="AD24" i="13"/>
  <c r="AC24" i="13"/>
  <c r="AE24" i="13"/>
  <c r="AB24" i="13"/>
  <c r="AA24" i="13"/>
  <c r="Z24" i="13"/>
  <c r="Y24" i="13"/>
  <c r="X24" i="13"/>
  <c r="W24" i="13"/>
  <c r="V24" i="13"/>
  <c r="U24" i="13"/>
  <c r="T24" i="13"/>
  <c r="R24" i="13"/>
  <c r="Q24" i="13"/>
  <c r="S24" i="13"/>
  <c r="P24" i="13"/>
  <c r="O24" i="13"/>
  <c r="N24" i="13"/>
  <c r="M24" i="13"/>
  <c r="L24" i="13"/>
  <c r="K24" i="13"/>
  <c r="J24" i="13"/>
  <c r="AX23" i="13"/>
  <c r="AY23" i="13"/>
  <c r="AV23" i="13"/>
  <c r="AU23" i="13"/>
  <c r="AW23" i="13"/>
  <c r="AT23" i="13"/>
  <c r="AQ23" i="13"/>
  <c r="AN23" i="13"/>
  <c r="AK23" i="13"/>
  <c r="AH23" i="13"/>
  <c r="AE23" i="13"/>
  <c r="AB23" i="13"/>
  <c r="Y23" i="13"/>
  <c r="V23" i="13"/>
  <c r="S23" i="13"/>
  <c r="P23" i="13"/>
  <c r="M23" i="13"/>
  <c r="AY22" i="13"/>
  <c r="AX22" i="13"/>
  <c r="AV22" i="13"/>
  <c r="AW22" i="13"/>
  <c r="AU22" i="13"/>
  <c r="AT22" i="13"/>
  <c r="AQ22" i="13"/>
  <c r="AN22" i="13"/>
  <c r="AK22" i="13"/>
  <c r="AH22" i="13"/>
  <c r="AE22" i="13"/>
  <c r="AB22" i="13"/>
  <c r="Y22" i="13"/>
  <c r="V22" i="13"/>
  <c r="S22" i="13"/>
  <c r="P22" i="13"/>
  <c r="M22" i="13"/>
  <c r="AX21" i="13"/>
  <c r="AY21" i="13"/>
  <c r="AW21" i="13"/>
  <c r="AV21" i="13"/>
  <c r="AU21" i="13"/>
  <c r="AT21" i="13"/>
  <c r="AQ21" i="13"/>
  <c r="AN21" i="13"/>
  <c r="AK21" i="13"/>
  <c r="AH21" i="13"/>
  <c r="AE21" i="13"/>
  <c r="AB21" i="13"/>
  <c r="Y21" i="13"/>
  <c r="V21" i="13"/>
  <c r="S21" i="13"/>
  <c r="P21" i="13"/>
  <c r="M21" i="13"/>
  <c r="AX20" i="13"/>
  <c r="AY20" i="13"/>
  <c r="AW20" i="13"/>
  <c r="AV20" i="13"/>
  <c r="AU20" i="13"/>
  <c r="AT20" i="13"/>
  <c r="AQ20" i="13"/>
  <c r="AN20" i="13"/>
  <c r="AK20" i="13"/>
  <c r="AH20" i="13"/>
  <c r="AE20" i="13"/>
  <c r="AB20" i="13"/>
  <c r="Y20" i="13"/>
  <c r="V20" i="13"/>
  <c r="S20" i="13"/>
  <c r="P20" i="13"/>
  <c r="M20" i="13"/>
  <c r="AY19" i="13"/>
  <c r="AX19" i="13"/>
  <c r="AV19" i="13"/>
  <c r="AU19" i="13"/>
  <c r="AW19" i="13"/>
  <c r="AT19" i="13"/>
  <c r="AQ19" i="13"/>
  <c r="AN19" i="13"/>
  <c r="AK19" i="13"/>
  <c r="AH19" i="13"/>
  <c r="AE19" i="13"/>
  <c r="AB19" i="13"/>
  <c r="Y19" i="13"/>
  <c r="V19" i="13"/>
  <c r="S19" i="13"/>
  <c r="P19" i="13"/>
  <c r="M19" i="13"/>
  <c r="AY18" i="13"/>
  <c r="AX18" i="13"/>
  <c r="AV18" i="13"/>
  <c r="AU18" i="13"/>
  <c r="AW18" i="13"/>
  <c r="AT18" i="13"/>
  <c r="AQ18" i="13"/>
  <c r="AN18" i="13"/>
  <c r="AK18" i="13"/>
  <c r="AH18" i="13"/>
  <c r="AE18" i="13"/>
  <c r="AB18" i="13"/>
  <c r="Y18" i="13"/>
  <c r="V18" i="13"/>
  <c r="S18" i="13"/>
  <c r="P18" i="13"/>
  <c r="M18" i="13"/>
  <c r="AX17" i="13"/>
  <c r="AY17" i="13"/>
  <c r="AW17" i="13"/>
  <c r="AV17" i="13"/>
  <c r="AU17" i="13"/>
  <c r="AT17" i="13"/>
  <c r="AQ17" i="13"/>
  <c r="AN17" i="13"/>
  <c r="AK17" i="13"/>
  <c r="AH17" i="13"/>
  <c r="AE17" i="13"/>
  <c r="AB17" i="13"/>
  <c r="Y17" i="13"/>
  <c r="V17" i="13"/>
  <c r="S17" i="13"/>
  <c r="P17" i="13"/>
  <c r="M17" i="13"/>
  <c r="AY16" i="13"/>
  <c r="AX16" i="13"/>
  <c r="AW16" i="13"/>
  <c r="AV16" i="13"/>
  <c r="AU16" i="13"/>
  <c r="AT16" i="13"/>
  <c r="AQ16" i="13"/>
  <c r="AN16" i="13"/>
  <c r="AK16" i="13"/>
  <c r="AH16" i="13"/>
  <c r="AE16" i="13"/>
  <c r="AB16" i="13"/>
  <c r="Y16" i="13"/>
  <c r="V16" i="13"/>
  <c r="S16" i="13"/>
  <c r="P16" i="13"/>
  <c r="M16" i="13"/>
  <c r="AX15" i="13"/>
  <c r="AY15" i="13"/>
  <c r="AV15" i="13"/>
  <c r="AU15" i="13"/>
  <c r="AW15" i="13"/>
  <c r="AT15" i="13"/>
  <c r="AQ15" i="13"/>
  <c r="AN15" i="13"/>
  <c r="AK15" i="13"/>
  <c r="AH15" i="13"/>
  <c r="AE15" i="13"/>
  <c r="AB15" i="13"/>
  <c r="Y15" i="13"/>
  <c r="V15" i="13"/>
  <c r="S15" i="13"/>
  <c r="P15" i="13"/>
  <c r="M15" i="13"/>
  <c r="AX14" i="13"/>
  <c r="AY14" i="13"/>
  <c r="AW14" i="13"/>
  <c r="AV14" i="13"/>
  <c r="AU14" i="13"/>
  <c r="AT14" i="13"/>
  <c r="AQ14" i="13"/>
  <c r="AN14" i="13"/>
  <c r="AK14" i="13"/>
  <c r="AH14" i="13"/>
  <c r="AE14" i="13"/>
  <c r="AB14" i="13"/>
  <c r="Y14" i="13"/>
  <c r="V14" i="13"/>
  <c r="S14" i="13"/>
  <c r="P14" i="13"/>
  <c r="M14" i="13"/>
  <c r="AY13" i="13"/>
  <c r="AX13" i="13"/>
  <c r="AV13" i="13"/>
  <c r="AW13" i="13"/>
  <c r="AU13" i="13"/>
  <c r="AT13" i="13"/>
  <c r="AQ13" i="13"/>
  <c r="AN13" i="13"/>
  <c r="AK13" i="13"/>
  <c r="AH13" i="13"/>
  <c r="AE13" i="13"/>
  <c r="AB13" i="13"/>
  <c r="Y13" i="13"/>
  <c r="V13" i="13"/>
  <c r="S13" i="13"/>
  <c r="P13" i="13"/>
  <c r="M13" i="13"/>
  <c r="AY12" i="13"/>
  <c r="AX12" i="13"/>
  <c r="AV12" i="13"/>
  <c r="AU12" i="13"/>
  <c r="AW12" i="13"/>
  <c r="AT12" i="13"/>
  <c r="AQ12" i="13"/>
  <c r="AN12" i="13"/>
  <c r="AK12" i="13"/>
  <c r="AH12" i="13"/>
  <c r="AE12" i="13"/>
  <c r="AB12" i="13"/>
  <c r="Y12" i="13"/>
  <c r="V12" i="13"/>
  <c r="S12" i="13"/>
  <c r="P12" i="13"/>
  <c r="M12" i="13"/>
  <c r="AX11" i="13"/>
  <c r="AY11" i="13"/>
  <c r="AV11" i="13"/>
  <c r="AU11" i="13"/>
  <c r="AW11" i="13"/>
  <c r="AT11" i="13"/>
  <c r="AQ11" i="13"/>
  <c r="AN11" i="13"/>
  <c r="AK11" i="13"/>
  <c r="AH11" i="13"/>
  <c r="AE11" i="13"/>
  <c r="AB11" i="13"/>
  <c r="Y11" i="13"/>
  <c r="V11" i="13"/>
  <c r="S11" i="13"/>
  <c r="P11" i="13"/>
  <c r="M11" i="13"/>
  <c r="AY10" i="13"/>
  <c r="AX10" i="13"/>
  <c r="AW10" i="13"/>
  <c r="AV10" i="13"/>
  <c r="AU10" i="13"/>
  <c r="AT10" i="13"/>
  <c r="AQ10" i="13"/>
  <c r="AN10" i="13"/>
  <c r="AK10" i="13"/>
  <c r="AH10" i="13"/>
  <c r="AE10" i="13"/>
  <c r="AB10" i="13"/>
  <c r="Y10" i="13"/>
  <c r="V10" i="13"/>
  <c r="S10" i="13"/>
  <c r="P10" i="13"/>
  <c r="M10" i="13"/>
  <c r="AX9" i="13"/>
  <c r="AY9" i="13"/>
  <c r="AV9" i="13"/>
  <c r="AW9" i="13"/>
  <c r="AU9" i="13"/>
  <c r="AT9" i="13"/>
  <c r="AQ9" i="13"/>
  <c r="AN9" i="13"/>
  <c r="AK9" i="13"/>
  <c r="AH9" i="13"/>
  <c r="AE9" i="13"/>
  <c r="AB9" i="13"/>
  <c r="Y9" i="13"/>
  <c r="V9" i="13"/>
  <c r="S9" i="13"/>
  <c r="P9" i="13"/>
  <c r="M9" i="13"/>
  <c r="AX8" i="13"/>
  <c r="AY8" i="13"/>
  <c r="AV8" i="13"/>
  <c r="AU8" i="13"/>
  <c r="AW8" i="13"/>
  <c r="AT8" i="13"/>
  <c r="AQ8" i="13"/>
  <c r="AN8" i="13"/>
  <c r="AK8" i="13"/>
  <c r="AH8" i="13"/>
  <c r="AE8" i="13"/>
  <c r="AB8" i="13"/>
  <c r="Y8" i="13"/>
  <c r="V8" i="13"/>
  <c r="S8" i="13"/>
  <c r="P8" i="13"/>
  <c r="M8" i="13"/>
  <c r="AY7" i="13"/>
  <c r="AX7" i="13"/>
  <c r="AV7" i="13"/>
  <c r="AU7" i="13"/>
  <c r="AT7" i="13"/>
  <c r="AQ7" i="13"/>
  <c r="AN7" i="13"/>
  <c r="AK7" i="13"/>
  <c r="AH7" i="13"/>
  <c r="AE7" i="13"/>
  <c r="AB7" i="13"/>
  <c r="Y7" i="13"/>
  <c r="V7" i="13"/>
  <c r="S7" i="13"/>
  <c r="P7" i="13"/>
  <c r="M7" i="13"/>
  <c r="AY6" i="13"/>
  <c r="AX6" i="13"/>
  <c r="AV6" i="13"/>
  <c r="AU6" i="13"/>
  <c r="AW6" i="13"/>
  <c r="AT6" i="13"/>
  <c r="AQ6" i="13"/>
  <c r="AN6" i="13"/>
  <c r="AK6" i="13"/>
  <c r="AH6" i="13"/>
  <c r="AE6" i="13"/>
  <c r="AB6" i="13"/>
  <c r="Y6" i="13"/>
  <c r="V6" i="13"/>
  <c r="S6" i="13"/>
  <c r="P6" i="13"/>
  <c r="M6" i="13"/>
  <c r="AX5" i="13"/>
  <c r="AY5" i="13"/>
  <c r="AW5" i="13"/>
  <c r="AV5" i="13"/>
  <c r="AU5" i="13"/>
  <c r="AT5" i="13"/>
  <c r="AQ5" i="13"/>
  <c r="AN5" i="13"/>
  <c r="AK5" i="13"/>
  <c r="AH5" i="13"/>
  <c r="AE5" i="13"/>
  <c r="AB5" i="13"/>
  <c r="Y5" i="13"/>
  <c r="V5" i="13"/>
  <c r="S5" i="13"/>
  <c r="P5" i="13"/>
  <c r="M5" i="13"/>
  <c r="AY4" i="13"/>
  <c r="AX4" i="13"/>
  <c r="AW4" i="13"/>
  <c r="AV4" i="13"/>
  <c r="AU4" i="13"/>
  <c r="AT4" i="13"/>
  <c r="AQ4" i="13"/>
  <c r="AN4" i="13"/>
  <c r="AK4" i="13"/>
  <c r="AH4" i="13"/>
  <c r="AE4" i="13"/>
  <c r="AB4" i="13"/>
  <c r="Y4" i="13"/>
  <c r="V4" i="13"/>
  <c r="S4" i="13"/>
  <c r="P4" i="13"/>
  <c r="M4" i="13"/>
  <c r="AX3" i="13"/>
  <c r="AY3" i="13"/>
  <c r="AV3" i="13"/>
  <c r="AU3" i="13"/>
  <c r="AW3" i="13"/>
  <c r="AT3" i="13"/>
  <c r="AQ3" i="13"/>
  <c r="AN3" i="13"/>
  <c r="AK3" i="13"/>
  <c r="AH3" i="13"/>
  <c r="AE3" i="13"/>
  <c r="AB3" i="13"/>
  <c r="Y3" i="13"/>
  <c r="V3" i="13"/>
  <c r="S3" i="13"/>
  <c r="P3" i="13"/>
  <c r="M3" i="13"/>
  <c r="AX2" i="13"/>
  <c r="AX24" i="13"/>
  <c r="AW2" i="13"/>
  <c r="AV2" i="13"/>
  <c r="AV24" i="13"/>
  <c r="AU2" i="13"/>
  <c r="AT2" i="13"/>
  <c r="AQ2" i="13"/>
  <c r="AN2" i="13"/>
  <c r="AK2" i="13"/>
  <c r="AH2" i="13"/>
  <c r="AE2" i="13"/>
  <c r="AB2" i="13"/>
  <c r="Y2" i="13"/>
  <c r="V2" i="13"/>
  <c r="S2" i="13"/>
  <c r="P2" i="13"/>
  <c r="M2" i="13"/>
  <c r="AT24" i="12"/>
  <c r="AS24" i="12"/>
  <c r="AR24" i="12"/>
  <c r="AP24" i="12"/>
  <c r="AO24" i="12"/>
  <c r="AQ24" i="12"/>
  <c r="AN24" i="12"/>
  <c r="AM24" i="12"/>
  <c r="AL24" i="12"/>
  <c r="AJ24" i="12"/>
  <c r="AK24" i="12"/>
  <c r="AI24" i="12"/>
  <c r="AH24" i="12"/>
  <c r="AG24" i="12"/>
  <c r="AF24" i="12"/>
  <c r="AD24" i="12"/>
  <c r="AC24" i="12"/>
  <c r="AB24" i="12"/>
  <c r="AA24" i="12"/>
  <c r="Z24" i="12"/>
  <c r="X24" i="12"/>
  <c r="Y24" i="12"/>
  <c r="W24" i="12"/>
  <c r="V24" i="12"/>
  <c r="U24" i="12"/>
  <c r="T24" i="12"/>
  <c r="R24" i="12"/>
  <c r="Q24" i="12"/>
  <c r="S24" i="12"/>
  <c r="P24" i="12"/>
  <c r="O24" i="12"/>
  <c r="N24" i="12"/>
  <c r="L24" i="12"/>
  <c r="M24" i="12"/>
  <c r="K24" i="12"/>
  <c r="J24" i="12"/>
  <c r="AY23" i="12"/>
  <c r="AX23" i="12"/>
  <c r="AV23" i="12"/>
  <c r="AU23" i="12"/>
  <c r="AW23" i="12"/>
  <c r="AT23" i="12"/>
  <c r="AQ23" i="12"/>
  <c r="AN23" i="12"/>
  <c r="AK23" i="12"/>
  <c r="AH23" i="12"/>
  <c r="AE23" i="12"/>
  <c r="AB23" i="12"/>
  <c r="Y23" i="12"/>
  <c r="V23" i="12"/>
  <c r="S23" i="12"/>
  <c r="P23" i="12"/>
  <c r="M23" i="12"/>
  <c r="AY22" i="12"/>
  <c r="AX22" i="12"/>
  <c r="AV22" i="12"/>
  <c r="AU22" i="12"/>
  <c r="AW22" i="12"/>
  <c r="AT22" i="12"/>
  <c r="AQ22" i="12"/>
  <c r="AN22" i="12"/>
  <c r="AK22" i="12"/>
  <c r="AH22" i="12"/>
  <c r="AE22" i="12"/>
  <c r="AB22" i="12"/>
  <c r="Y22" i="12"/>
  <c r="V22" i="12"/>
  <c r="S22" i="12"/>
  <c r="P22" i="12"/>
  <c r="M22" i="12"/>
  <c r="AX21" i="12"/>
  <c r="AY21" i="12"/>
  <c r="AW21" i="12"/>
  <c r="AV21" i="12"/>
  <c r="AU21" i="12"/>
  <c r="AT21" i="12"/>
  <c r="AQ21" i="12"/>
  <c r="AN21" i="12"/>
  <c r="AK21" i="12"/>
  <c r="AH21" i="12"/>
  <c r="AE21" i="12"/>
  <c r="AB21" i="12"/>
  <c r="Y21" i="12"/>
  <c r="V21" i="12"/>
  <c r="S21" i="12"/>
  <c r="P21" i="12"/>
  <c r="M21" i="12"/>
  <c r="AY20" i="12"/>
  <c r="AX20" i="12"/>
  <c r="AW20" i="12"/>
  <c r="AV20" i="12"/>
  <c r="AU20" i="12"/>
  <c r="AT20" i="12"/>
  <c r="AQ20" i="12"/>
  <c r="AN20" i="12"/>
  <c r="AK20" i="12"/>
  <c r="AH20" i="12"/>
  <c r="AE20" i="12"/>
  <c r="AB20" i="12"/>
  <c r="Y20" i="12"/>
  <c r="V20" i="12"/>
  <c r="S20" i="12"/>
  <c r="P20" i="12"/>
  <c r="M20" i="12"/>
  <c r="AX19" i="12"/>
  <c r="AY19" i="12"/>
  <c r="AV19" i="12"/>
  <c r="AW19" i="12"/>
  <c r="AU19" i="12"/>
  <c r="AT19" i="12"/>
  <c r="AQ19" i="12"/>
  <c r="AN19" i="12"/>
  <c r="AK19" i="12"/>
  <c r="AH19" i="12"/>
  <c r="AE19" i="12"/>
  <c r="AB19" i="12"/>
  <c r="Y19" i="12"/>
  <c r="V19" i="12"/>
  <c r="S19" i="12"/>
  <c r="P19" i="12"/>
  <c r="M19" i="12"/>
  <c r="AX18" i="12"/>
  <c r="AY18" i="12"/>
  <c r="AW18" i="12"/>
  <c r="AV18" i="12"/>
  <c r="AU18" i="12"/>
  <c r="AT18" i="12"/>
  <c r="AQ18" i="12"/>
  <c r="AN18" i="12"/>
  <c r="AK18" i="12"/>
  <c r="AH18" i="12"/>
  <c r="AE18" i="12"/>
  <c r="AB18" i="12"/>
  <c r="Y18" i="12"/>
  <c r="V18" i="12"/>
  <c r="S18" i="12"/>
  <c r="P18" i="12"/>
  <c r="M18" i="12"/>
  <c r="AY17" i="12"/>
  <c r="AX17" i="12"/>
  <c r="AV17" i="12"/>
  <c r="AU17" i="12"/>
  <c r="AW17" i="12"/>
  <c r="AT17" i="12"/>
  <c r="AQ17" i="12"/>
  <c r="AN17" i="12"/>
  <c r="AK17" i="12"/>
  <c r="AH17" i="12"/>
  <c r="AE17" i="12"/>
  <c r="AB17" i="12"/>
  <c r="Y17" i="12"/>
  <c r="V17" i="12"/>
  <c r="S17" i="12"/>
  <c r="P17" i="12"/>
  <c r="M17" i="12"/>
  <c r="AY16" i="12"/>
  <c r="AX16" i="12"/>
  <c r="AV16" i="12"/>
  <c r="AU16" i="12"/>
  <c r="AW16" i="12"/>
  <c r="AT16" i="12"/>
  <c r="AQ16" i="12"/>
  <c r="AN16" i="12"/>
  <c r="AK16" i="12"/>
  <c r="AH16" i="12"/>
  <c r="AE16" i="12"/>
  <c r="AB16" i="12"/>
  <c r="Y16" i="12"/>
  <c r="V16" i="12"/>
  <c r="S16" i="12"/>
  <c r="P16" i="12"/>
  <c r="M16" i="12"/>
  <c r="AY15" i="12"/>
  <c r="AX15" i="12"/>
  <c r="AV15" i="12"/>
  <c r="AU15" i="12"/>
  <c r="AW15" i="12"/>
  <c r="AT15" i="12"/>
  <c r="AQ15" i="12"/>
  <c r="AN15" i="12"/>
  <c r="AK15" i="12"/>
  <c r="AH15" i="12"/>
  <c r="AE15" i="12"/>
  <c r="AB15" i="12"/>
  <c r="Y15" i="12"/>
  <c r="V15" i="12"/>
  <c r="S15" i="12"/>
  <c r="P15" i="12"/>
  <c r="M15" i="12"/>
  <c r="AY14" i="12"/>
  <c r="AX14" i="12"/>
  <c r="AW14" i="12"/>
  <c r="AV14" i="12"/>
  <c r="AU14" i="12"/>
  <c r="AT14" i="12"/>
  <c r="AQ14" i="12"/>
  <c r="AN14" i="12"/>
  <c r="AK14" i="12"/>
  <c r="AH14" i="12"/>
  <c r="AE14" i="12"/>
  <c r="AB14" i="12"/>
  <c r="Y14" i="12"/>
  <c r="V14" i="12"/>
  <c r="S14" i="12"/>
  <c r="P14" i="12"/>
  <c r="M14" i="12"/>
  <c r="AX13" i="12"/>
  <c r="AY13" i="12"/>
  <c r="AW13" i="12"/>
  <c r="AV13" i="12"/>
  <c r="AU13" i="12"/>
  <c r="AT13" i="12"/>
  <c r="AQ13" i="12"/>
  <c r="AN13" i="12"/>
  <c r="AK13" i="12"/>
  <c r="AH13" i="12"/>
  <c r="AE13" i="12"/>
  <c r="AB13" i="12"/>
  <c r="Y13" i="12"/>
  <c r="V13" i="12"/>
  <c r="S13" i="12"/>
  <c r="P13" i="12"/>
  <c r="M13" i="12"/>
  <c r="AX12" i="12"/>
  <c r="AY12" i="12"/>
  <c r="AV12" i="12"/>
  <c r="AU12" i="12"/>
  <c r="AW12" i="12"/>
  <c r="AT12" i="12"/>
  <c r="AQ12" i="12"/>
  <c r="AN12" i="12"/>
  <c r="AK12" i="12"/>
  <c r="AH12" i="12"/>
  <c r="AE12" i="12"/>
  <c r="AB12" i="12"/>
  <c r="Y12" i="12"/>
  <c r="V12" i="12"/>
  <c r="S12" i="12"/>
  <c r="P12" i="12"/>
  <c r="M12" i="12"/>
  <c r="AY11" i="12"/>
  <c r="AX11" i="12"/>
  <c r="AV11" i="12"/>
  <c r="AU11" i="12"/>
  <c r="AW11" i="12"/>
  <c r="AT11" i="12"/>
  <c r="AQ11" i="12"/>
  <c r="AN11" i="12"/>
  <c r="AK11" i="12"/>
  <c r="AH11" i="12"/>
  <c r="AE11" i="12"/>
  <c r="AB11" i="12"/>
  <c r="Y11" i="12"/>
  <c r="V11" i="12"/>
  <c r="S11" i="12"/>
  <c r="P11" i="12"/>
  <c r="M11" i="12"/>
  <c r="AY10" i="12"/>
  <c r="AX10" i="12"/>
  <c r="AV10" i="12"/>
  <c r="AU10" i="12"/>
  <c r="AW10" i="12"/>
  <c r="AT10" i="12"/>
  <c r="AQ10" i="12"/>
  <c r="AN10" i="12"/>
  <c r="AK10" i="12"/>
  <c r="AH10" i="12"/>
  <c r="AE10" i="12"/>
  <c r="AB10" i="12"/>
  <c r="Y10" i="12"/>
  <c r="V10" i="12"/>
  <c r="S10" i="12"/>
  <c r="P10" i="12"/>
  <c r="M10" i="12"/>
  <c r="AX9" i="12"/>
  <c r="AY9" i="12"/>
  <c r="AW9" i="12"/>
  <c r="AV9" i="12"/>
  <c r="AU9" i="12"/>
  <c r="AT9" i="12"/>
  <c r="AQ9" i="12"/>
  <c r="AN9" i="12"/>
  <c r="AK9" i="12"/>
  <c r="AH9" i="12"/>
  <c r="AE9" i="12"/>
  <c r="AB9" i="12"/>
  <c r="Y9" i="12"/>
  <c r="V9" i="12"/>
  <c r="S9" i="12"/>
  <c r="P9" i="12"/>
  <c r="M9" i="12"/>
  <c r="AY8" i="12"/>
  <c r="AX8" i="12"/>
  <c r="AW8" i="12"/>
  <c r="AV8" i="12"/>
  <c r="AU8" i="12"/>
  <c r="AT8" i="12"/>
  <c r="AQ8" i="12"/>
  <c r="AN8" i="12"/>
  <c r="AK8" i="12"/>
  <c r="AH8" i="12"/>
  <c r="AE8" i="12"/>
  <c r="AB8" i="12"/>
  <c r="Y8" i="12"/>
  <c r="V8" i="12"/>
  <c r="S8" i="12"/>
  <c r="P8" i="12"/>
  <c r="M8" i="12"/>
  <c r="AX7" i="12"/>
  <c r="AY7" i="12"/>
  <c r="AV7" i="12"/>
  <c r="AU7" i="12"/>
  <c r="AW7" i="12"/>
  <c r="AT7" i="12"/>
  <c r="AQ7" i="12"/>
  <c r="AN7" i="12"/>
  <c r="AK7" i="12"/>
  <c r="AH7" i="12"/>
  <c r="AE7" i="12"/>
  <c r="AB7" i="12"/>
  <c r="Y7" i="12"/>
  <c r="V7" i="12"/>
  <c r="S7" i="12"/>
  <c r="P7" i="12"/>
  <c r="M7" i="12"/>
  <c r="AX6" i="12"/>
  <c r="AY6" i="12"/>
  <c r="AW6" i="12"/>
  <c r="AV6" i="12"/>
  <c r="AU6" i="12"/>
  <c r="AT6" i="12"/>
  <c r="AQ6" i="12"/>
  <c r="AN6" i="12"/>
  <c r="AK6" i="12"/>
  <c r="AH6" i="12"/>
  <c r="AE6" i="12"/>
  <c r="AB6" i="12"/>
  <c r="Y6" i="12"/>
  <c r="V6" i="12"/>
  <c r="S6" i="12"/>
  <c r="P6" i="12"/>
  <c r="M6" i="12"/>
  <c r="AY5" i="12"/>
  <c r="AX5" i="12"/>
  <c r="AV5" i="12"/>
  <c r="AU5" i="12"/>
  <c r="AW5" i="12"/>
  <c r="AT5" i="12"/>
  <c r="AQ5" i="12"/>
  <c r="AN5" i="12"/>
  <c r="AK5" i="12"/>
  <c r="AH5" i="12"/>
  <c r="AE5" i="12"/>
  <c r="AB5" i="12"/>
  <c r="Y5" i="12"/>
  <c r="V5" i="12"/>
  <c r="S5" i="12"/>
  <c r="P5" i="12"/>
  <c r="M5" i="12"/>
  <c r="AY4" i="12"/>
  <c r="AX4" i="12"/>
  <c r="AV4" i="12"/>
  <c r="AU4" i="12"/>
  <c r="AW4" i="12"/>
  <c r="AT4" i="12"/>
  <c r="AQ4" i="12"/>
  <c r="AN4" i="12"/>
  <c r="AK4" i="12"/>
  <c r="AH4" i="12"/>
  <c r="AE4" i="12"/>
  <c r="AB4" i="12"/>
  <c r="Y4" i="12"/>
  <c r="V4" i="12"/>
  <c r="S4" i="12"/>
  <c r="P4" i="12"/>
  <c r="M4" i="12"/>
  <c r="AY3" i="12"/>
  <c r="AX3" i="12"/>
  <c r="AV3" i="12"/>
  <c r="AU3" i="12"/>
  <c r="AW3" i="12"/>
  <c r="AT3" i="12"/>
  <c r="AQ3" i="12"/>
  <c r="AN3" i="12"/>
  <c r="AK3" i="12"/>
  <c r="AH3" i="12"/>
  <c r="AE3" i="12"/>
  <c r="AB3" i="12"/>
  <c r="Y3" i="12"/>
  <c r="V3" i="12"/>
  <c r="S3" i="12"/>
  <c r="P3" i="12"/>
  <c r="M3" i="12"/>
  <c r="AY2" i="12"/>
  <c r="AX2" i="12"/>
  <c r="AX24" i="12"/>
  <c r="AY24" i="12"/>
  <c r="AW2" i="12"/>
  <c r="AV2" i="12"/>
  <c r="AV24" i="12"/>
  <c r="AU2" i="12"/>
  <c r="AT2" i="12"/>
  <c r="AQ2" i="12"/>
  <c r="AN2" i="12"/>
  <c r="AK2" i="12"/>
  <c r="AH2" i="12"/>
  <c r="AE2" i="12"/>
  <c r="AB2" i="12"/>
  <c r="Y2" i="12"/>
  <c r="V2" i="12"/>
  <c r="S2" i="12"/>
  <c r="P2" i="12"/>
  <c r="M2" i="12"/>
  <c r="AS24" i="7"/>
  <c r="AR24" i="7"/>
  <c r="AT24" i="7"/>
  <c r="AP24" i="7"/>
  <c r="AO24" i="7"/>
  <c r="AQ24" i="7"/>
  <c r="AM24" i="7"/>
  <c r="AL24" i="7"/>
  <c r="AN24" i="7"/>
  <c r="AK24" i="7"/>
  <c r="AJ24" i="7"/>
  <c r="AI24" i="7"/>
  <c r="AG24" i="7"/>
  <c r="AF24" i="7"/>
  <c r="AH24" i="7"/>
  <c r="AD24" i="7"/>
  <c r="AC24" i="7"/>
  <c r="AE24" i="7"/>
  <c r="AA24" i="7"/>
  <c r="Z24" i="7"/>
  <c r="AB24" i="7"/>
  <c r="Y24" i="7"/>
  <c r="X24" i="7"/>
  <c r="W24" i="7"/>
  <c r="U24" i="7"/>
  <c r="T24" i="7"/>
  <c r="V24" i="7"/>
  <c r="R24" i="7"/>
  <c r="Q24" i="7"/>
  <c r="S24" i="7"/>
  <c r="O24" i="7"/>
  <c r="N24" i="7"/>
  <c r="P24" i="7"/>
  <c r="M24" i="7"/>
  <c r="L24" i="7"/>
  <c r="K24" i="7"/>
  <c r="J24" i="7"/>
  <c r="AX23" i="7"/>
  <c r="AY23" i="7"/>
  <c r="AV23" i="7"/>
  <c r="AU23" i="7"/>
  <c r="AW23" i="7"/>
  <c r="AT23" i="7"/>
  <c r="AQ23" i="7"/>
  <c r="AN23" i="7"/>
  <c r="AK23" i="7"/>
  <c r="AH23" i="7"/>
  <c r="AE23" i="7"/>
  <c r="AB23" i="7"/>
  <c r="Y23" i="7"/>
  <c r="V23" i="7"/>
  <c r="S23" i="7"/>
  <c r="P23" i="7"/>
  <c r="M23" i="7"/>
  <c r="AX22" i="7"/>
  <c r="AY22" i="7"/>
  <c r="AW22" i="7"/>
  <c r="AV22" i="7"/>
  <c r="AU22" i="7"/>
  <c r="AT22" i="7"/>
  <c r="AQ22" i="7"/>
  <c r="AN22" i="7"/>
  <c r="AK22" i="7"/>
  <c r="AH22" i="7"/>
  <c r="AE22" i="7"/>
  <c r="AB22" i="7"/>
  <c r="Y22" i="7"/>
  <c r="V22" i="7"/>
  <c r="S22" i="7"/>
  <c r="P22" i="7"/>
  <c r="M22" i="7"/>
  <c r="AY21" i="7"/>
  <c r="AX21" i="7"/>
  <c r="AV21" i="7"/>
  <c r="AU21" i="7"/>
  <c r="AW21" i="7"/>
  <c r="AT21" i="7"/>
  <c r="AQ21" i="7"/>
  <c r="AN21" i="7"/>
  <c r="AK21" i="7"/>
  <c r="AH21" i="7"/>
  <c r="AE21" i="7"/>
  <c r="AB21" i="7"/>
  <c r="Y21" i="7"/>
  <c r="V21" i="7"/>
  <c r="S21" i="7"/>
  <c r="P21" i="7"/>
  <c r="M21" i="7"/>
  <c r="AX20" i="7"/>
  <c r="AY20" i="7"/>
  <c r="AV20" i="7"/>
  <c r="AU20" i="7"/>
  <c r="AW20" i="7"/>
  <c r="AT20" i="7"/>
  <c r="AQ20" i="7"/>
  <c r="AN20" i="7"/>
  <c r="AK20" i="7"/>
  <c r="AH20" i="7"/>
  <c r="AE20" i="7"/>
  <c r="AB20" i="7"/>
  <c r="Y20" i="7"/>
  <c r="V20" i="7"/>
  <c r="S20" i="7"/>
  <c r="P20" i="7"/>
  <c r="M20" i="7"/>
  <c r="AY19" i="7"/>
  <c r="AX19" i="7"/>
  <c r="AV19" i="7"/>
  <c r="AU19" i="7"/>
  <c r="AW19" i="7"/>
  <c r="AT19" i="7"/>
  <c r="AQ19" i="7"/>
  <c r="AN19" i="7"/>
  <c r="AK19" i="7"/>
  <c r="AH19" i="7"/>
  <c r="AE19" i="7"/>
  <c r="AB19" i="7"/>
  <c r="Y19" i="7"/>
  <c r="V19" i="7"/>
  <c r="S19" i="7"/>
  <c r="P19" i="7"/>
  <c r="M19" i="7"/>
  <c r="AY18" i="7"/>
  <c r="AX18" i="7"/>
  <c r="AV18" i="7"/>
  <c r="AW18" i="7"/>
  <c r="AU18" i="7"/>
  <c r="AT18" i="7"/>
  <c r="AQ18" i="7"/>
  <c r="AN18" i="7"/>
  <c r="AK18" i="7"/>
  <c r="AH18" i="7"/>
  <c r="AE18" i="7"/>
  <c r="AB18" i="7"/>
  <c r="Y18" i="7"/>
  <c r="V18" i="7"/>
  <c r="S18" i="7"/>
  <c r="P18" i="7"/>
  <c r="M18" i="7"/>
  <c r="AX17" i="7"/>
  <c r="AY17" i="7"/>
  <c r="AW17" i="7"/>
  <c r="AV17" i="7"/>
  <c r="AU17" i="7"/>
  <c r="AT17" i="7"/>
  <c r="AQ17" i="7"/>
  <c r="AN17" i="7"/>
  <c r="AK17" i="7"/>
  <c r="AH17" i="7"/>
  <c r="AE17" i="7"/>
  <c r="AB17" i="7"/>
  <c r="Y17" i="7"/>
  <c r="V17" i="7"/>
  <c r="S17" i="7"/>
  <c r="P17" i="7"/>
  <c r="M17" i="7"/>
  <c r="AX16" i="7"/>
  <c r="AY16" i="7"/>
  <c r="AV16" i="7"/>
  <c r="AW16" i="7"/>
  <c r="AU16" i="7"/>
  <c r="AT16" i="7"/>
  <c r="AQ16" i="7"/>
  <c r="AN16" i="7"/>
  <c r="AK16" i="7"/>
  <c r="AH16" i="7"/>
  <c r="AE16" i="7"/>
  <c r="AB16" i="7"/>
  <c r="Y16" i="7"/>
  <c r="V16" i="7"/>
  <c r="S16" i="7"/>
  <c r="P16" i="7"/>
  <c r="M16" i="7"/>
  <c r="AY15" i="7"/>
  <c r="AX15" i="7"/>
  <c r="AV15" i="7"/>
  <c r="AU15" i="7"/>
  <c r="AW15" i="7"/>
  <c r="AT15" i="7"/>
  <c r="AQ15" i="7"/>
  <c r="AN15" i="7"/>
  <c r="AK15" i="7"/>
  <c r="AH15" i="7"/>
  <c r="AE15" i="7"/>
  <c r="AB15" i="7"/>
  <c r="Y15" i="7"/>
  <c r="V15" i="7"/>
  <c r="S15" i="7"/>
  <c r="P15" i="7"/>
  <c r="M15" i="7"/>
  <c r="AY14" i="7"/>
  <c r="AX14" i="7"/>
  <c r="AV14" i="7"/>
  <c r="AU14" i="7"/>
  <c r="AW14" i="7"/>
  <c r="AT14" i="7"/>
  <c r="AQ14" i="7"/>
  <c r="AN14" i="7"/>
  <c r="AK14" i="7"/>
  <c r="AH14" i="7"/>
  <c r="AE14" i="7"/>
  <c r="AB14" i="7"/>
  <c r="Y14" i="7"/>
  <c r="V14" i="7"/>
  <c r="S14" i="7"/>
  <c r="P14" i="7"/>
  <c r="M14" i="7"/>
  <c r="AY13" i="7"/>
  <c r="AX13" i="7"/>
  <c r="AW13" i="7"/>
  <c r="AV13" i="7"/>
  <c r="AU13" i="7"/>
  <c r="AT13" i="7"/>
  <c r="AQ13" i="7"/>
  <c r="AN13" i="7"/>
  <c r="AK13" i="7"/>
  <c r="AH13" i="7"/>
  <c r="AE13" i="7"/>
  <c r="AB13" i="7"/>
  <c r="Y13" i="7"/>
  <c r="V13" i="7"/>
  <c r="S13" i="7"/>
  <c r="P13" i="7"/>
  <c r="M13" i="7"/>
  <c r="AY12" i="7"/>
  <c r="AX12" i="7"/>
  <c r="AW12" i="7"/>
  <c r="AV12" i="7"/>
  <c r="AU12" i="7"/>
  <c r="AT12" i="7"/>
  <c r="AQ12" i="7"/>
  <c r="AN12" i="7"/>
  <c r="AK12" i="7"/>
  <c r="AH12" i="7"/>
  <c r="AE12" i="7"/>
  <c r="AB12" i="7"/>
  <c r="Y12" i="7"/>
  <c r="V12" i="7"/>
  <c r="S12" i="7"/>
  <c r="P12" i="7"/>
  <c r="M12" i="7"/>
  <c r="AX11" i="7"/>
  <c r="AY11" i="7"/>
  <c r="AV11" i="7"/>
  <c r="AU11" i="7"/>
  <c r="AW11" i="7"/>
  <c r="AT11" i="7"/>
  <c r="AQ11" i="7"/>
  <c r="AN11" i="7"/>
  <c r="AK11" i="7"/>
  <c r="AH11" i="7"/>
  <c r="AE11" i="7"/>
  <c r="AB11" i="7"/>
  <c r="Y11" i="7"/>
  <c r="V11" i="7"/>
  <c r="S11" i="7"/>
  <c r="P11" i="7"/>
  <c r="M11" i="7"/>
  <c r="AX10" i="7"/>
  <c r="AY10" i="7"/>
  <c r="AW10" i="7"/>
  <c r="AV10" i="7"/>
  <c r="AU10" i="7"/>
  <c r="AT10" i="7"/>
  <c r="AQ10" i="7"/>
  <c r="AN10" i="7"/>
  <c r="AK10" i="7"/>
  <c r="AH10" i="7"/>
  <c r="AE10" i="7"/>
  <c r="AB10" i="7"/>
  <c r="Y10" i="7"/>
  <c r="V10" i="7"/>
  <c r="S10" i="7"/>
  <c r="P10" i="7"/>
  <c r="M10" i="7"/>
  <c r="AX9" i="7"/>
  <c r="AY9" i="7"/>
  <c r="AV9" i="7"/>
  <c r="AU9" i="7"/>
  <c r="AW9" i="7"/>
  <c r="AT9" i="7"/>
  <c r="AQ9" i="7"/>
  <c r="AN9" i="7"/>
  <c r="AK9" i="7"/>
  <c r="AH9" i="7"/>
  <c r="AE9" i="7"/>
  <c r="AB9" i="7"/>
  <c r="Y9" i="7"/>
  <c r="V9" i="7"/>
  <c r="S9" i="7"/>
  <c r="P9" i="7"/>
  <c r="M9" i="7"/>
  <c r="AX8" i="7"/>
  <c r="AY8" i="7"/>
  <c r="AV8" i="7"/>
  <c r="AU8" i="7"/>
  <c r="AW8" i="7"/>
  <c r="AT8" i="7"/>
  <c r="AQ8" i="7"/>
  <c r="AN8" i="7"/>
  <c r="AK8" i="7"/>
  <c r="AH8" i="7"/>
  <c r="AE8" i="7"/>
  <c r="AB8" i="7"/>
  <c r="Y8" i="7"/>
  <c r="V8" i="7"/>
  <c r="S8" i="7"/>
  <c r="P8" i="7"/>
  <c r="M8" i="7"/>
  <c r="AY7" i="7"/>
  <c r="AX7" i="7"/>
  <c r="AV7" i="7"/>
  <c r="AU7" i="7"/>
  <c r="AW7" i="7"/>
  <c r="AT7" i="7"/>
  <c r="AQ7" i="7"/>
  <c r="AN7" i="7"/>
  <c r="AK7" i="7"/>
  <c r="AH7" i="7"/>
  <c r="AE7" i="7"/>
  <c r="AB7" i="7"/>
  <c r="Y7" i="7"/>
  <c r="V7" i="7"/>
  <c r="S7" i="7"/>
  <c r="P7" i="7"/>
  <c r="M7" i="7"/>
  <c r="AX6" i="7"/>
  <c r="AY6" i="7"/>
  <c r="AV6" i="7"/>
  <c r="AW6" i="7"/>
  <c r="AU6" i="7"/>
  <c r="AT6" i="7"/>
  <c r="AQ6" i="7"/>
  <c r="AN6" i="7"/>
  <c r="AK6" i="7"/>
  <c r="AH6" i="7"/>
  <c r="AE6" i="7"/>
  <c r="AB6" i="7"/>
  <c r="Y6" i="7"/>
  <c r="V6" i="7"/>
  <c r="S6" i="7"/>
  <c r="P6" i="7"/>
  <c r="M6" i="7"/>
  <c r="AX5" i="7"/>
  <c r="AY5" i="7"/>
  <c r="AW5" i="7"/>
  <c r="AV5" i="7"/>
  <c r="AU5" i="7"/>
  <c r="AT5" i="7"/>
  <c r="AQ5" i="7"/>
  <c r="AN5" i="7"/>
  <c r="AK5" i="7"/>
  <c r="AH5" i="7"/>
  <c r="AE5" i="7"/>
  <c r="AB5" i="7"/>
  <c r="Y5" i="7"/>
  <c r="V5" i="7"/>
  <c r="S5" i="7"/>
  <c r="P5" i="7"/>
  <c r="M5" i="7"/>
  <c r="AX4" i="7"/>
  <c r="AY4" i="7"/>
  <c r="AV4" i="7"/>
  <c r="AW4" i="7"/>
  <c r="AU4" i="7"/>
  <c r="AT4" i="7"/>
  <c r="AQ4" i="7"/>
  <c r="AN4" i="7"/>
  <c r="AK4" i="7"/>
  <c r="AH4" i="7"/>
  <c r="AE4" i="7"/>
  <c r="AB4" i="7"/>
  <c r="Y4" i="7"/>
  <c r="V4" i="7"/>
  <c r="S4" i="7"/>
  <c r="P4" i="7"/>
  <c r="M4" i="7"/>
  <c r="AY3" i="7"/>
  <c r="AX3" i="7"/>
  <c r="AV3" i="7"/>
  <c r="AU3" i="7"/>
  <c r="AW3" i="7"/>
  <c r="AT3" i="7"/>
  <c r="AQ3" i="7"/>
  <c r="AN3" i="7"/>
  <c r="AK3" i="7"/>
  <c r="AH3" i="7"/>
  <c r="AE3" i="7"/>
  <c r="AB3" i="7"/>
  <c r="Y3" i="7"/>
  <c r="V3" i="7"/>
  <c r="S3" i="7"/>
  <c r="P3" i="7"/>
  <c r="M3" i="7"/>
  <c r="AY2" i="7"/>
  <c r="AX2" i="7"/>
  <c r="AV2" i="7"/>
  <c r="AU2" i="7"/>
  <c r="AT2" i="7"/>
  <c r="AQ2" i="7"/>
  <c r="AN2" i="7"/>
  <c r="AK2" i="7"/>
  <c r="AH2" i="7"/>
  <c r="AE2" i="7"/>
  <c r="AB2" i="7"/>
  <c r="Y2" i="7"/>
  <c r="V2" i="7"/>
  <c r="S2" i="7"/>
  <c r="P2" i="7"/>
  <c r="M2" i="7"/>
  <c r="AT24" i="9"/>
  <c r="AS24" i="9"/>
  <c r="AR24" i="9"/>
  <c r="AP24" i="9"/>
  <c r="AO24" i="9"/>
  <c r="AQ24" i="9"/>
  <c r="AM24" i="9"/>
  <c r="AN24" i="9"/>
  <c r="AL24" i="9"/>
  <c r="AK24" i="9"/>
  <c r="AG24" i="9"/>
  <c r="AF24" i="9"/>
  <c r="AH24" i="9"/>
  <c r="AE24" i="9"/>
  <c r="AD24" i="9"/>
  <c r="AC24" i="9"/>
  <c r="AA24" i="9"/>
  <c r="Z24" i="9"/>
  <c r="AB24" i="9"/>
  <c r="X24" i="9"/>
  <c r="W24" i="9"/>
  <c r="Y24" i="9"/>
  <c r="U24" i="9"/>
  <c r="T24" i="9"/>
  <c r="V24" i="9"/>
  <c r="S24" i="9"/>
  <c r="R24" i="9"/>
  <c r="Q24" i="9"/>
  <c r="O24" i="9"/>
  <c r="N24" i="9"/>
  <c r="P24" i="9"/>
  <c r="L24" i="9"/>
  <c r="K24" i="9"/>
  <c r="M24" i="9"/>
  <c r="J24" i="9"/>
  <c r="AX23" i="9"/>
  <c r="AY23" i="9"/>
  <c r="AW23" i="9"/>
  <c r="AV23" i="9"/>
  <c r="AU23" i="9"/>
  <c r="AT23" i="9"/>
  <c r="AQ23" i="9"/>
  <c r="AN23" i="9"/>
  <c r="AK23" i="9"/>
  <c r="AH23" i="9"/>
  <c r="AE23" i="9"/>
  <c r="AB23" i="9"/>
  <c r="Y23" i="9"/>
  <c r="V23" i="9"/>
  <c r="S23" i="9"/>
  <c r="P23" i="9"/>
  <c r="M23" i="9"/>
  <c r="AX22" i="9"/>
  <c r="AY22" i="9"/>
  <c r="AV22" i="9"/>
  <c r="AW22" i="9"/>
  <c r="AU22" i="9"/>
  <c r="AT22" i="9"/>
  <c r="AQ22" i="9"/>
  <c r="AN22" i="9"/>
  <c r="AK22" i="9"/>
  <c r="AH22" i="9"/>
  <c r="AE22" i="9"/>
  <c r="AB22" i="9"/>
  <c r="Y22" i="9"/>
  <c r="V22" i="9"/>
  <c r="S22" i="9"/>
  <c r="P22" i="9"/>
  <c r="M22" i="9"/>
  <c r="AY21" i="9"/>
  <c r="AX21" i="9"/>
  <c r="AV21" i="9"/>
  <c r="AU21" i="9"/>
  <c r="AW21" i="9"/>
  <c r="AT21" i="9"/>
  <c r="AQ21" i="9"/>
  <c r="AN21" i="9"/>
  <c r="AK21" i="9"/>
  <c r="AH21" i="9"/>
  <c r="AE21" i="9"/>
  <c r="AB21" i="9"/>
  <c r="Y21" i="9"/>
  <c r="V21" i="9"/>
  <c r="S21" i="9"/>
  <c r="P21" i="9"/>
  <c r="M21" i="9"/>
  <c r="AY20" i="9"/>
  <c r="AX20" i="9"/>
  <c r="AV20" i="9"/>
  <c r="AU20" i="9"/>
  <c r="AW20" i="9"/>
  <c r="AT20" i="9"/>
  <c r="AQ20" i="9"/>
  <c r="AN20" i="9"/>
  <c r="AK20" i="9"/>
  <c r="AH20" i="9"/>
  <c r="AE20" i="9"/>
  <c r="AB20" i="9"/>
  <c r="Y20" i="9"/>
  <c r="V20" i="9"/>
  <c r="S20" i="9"/>
  <c r="P20" i="9"/>
  <c r="M20" i="9"/>
  <c r="AY19" i="9"/>
  <c r="AX19" i="9"/>
  <c r="AW19" i="9"/>
  <c r="AV19" i="9"/>
  <c r="AU19" i="9"/>
  <c r="AT19" i="9"/>
  <c r="AQ19" i="9"/>
  <c r="AN19" i="9"/>
  <c r="AK19" i="9"/>
  <c r="AH19" i="9"/>
  <c r="AE19" i="9"/>
  <c r="AB19" i="9"/>
  <c r="Y19" i="9"/>
  <c r="V19" i="9"/>
  <c r="S19" i="9"/>
  <c r="P19" i="9"/>
  <c r="M19" i="9"/>
  <c r="AY18" i="9"/>
  <c r="AX18" i="9"/>
  <c r="AW18" i="9"/>
  <c r="AV18" i="9"/>
  <c r="AU18" i="9"/>
  <c r="AT18" i="9"/>
  <c r="AQ18" i="9"/>
  <c r="AN18" i="9"/>
  <c r="AK18" i="9"/>
  <c r="AH18" i="9"/>
  <c r="AE18" i="9"/>
  <c r="AB18" i="9"/>
  <c r="Y18" i="9"/>
  <c r="V18" i="9"/>
  <c r="S18" i="9"/>
  <c r="P18" i="9"/>
  <c r="M18" i="9"/>
  <c r="AX17" i="9"/>
  <c r="AY17" i="9"/>
  <c r="AV17" i="9"/>
  <c r="AU17" i="9"/>
  <c r="AW17" i="9"/>
  <c r="AT17" i="9"/>
  <c r="AQ17" i="9"/>
  <c r="AN17" i="9"/>
  <c r="AK17" i="9"/>
  <c r="AH17" i="9"/>
  <c r="AE17" i="9"/>
  <c r="AB17" i="9"/>
  <c r="Y17" i="9"/>
  <c r="V17" i="9"/>
  <c r="S17" i="9"/>
  <c r="P17" i="9"/>
  <c r="M17" i="9"/>
  <c r="AX16" i="9"/>
  <c r="AY16" i="9"/>
  <c r="AW16" i="9"/>
  <c r="AV16" i="9"/>
  <c r="AU16" i="9"/>
  <c r="AT16" i="9"/>
  <c r="AQ16" i="9"/>
  <c r="AN16" i="9"/>
  <c r="AK16" i="9"/>
  <c r="AH16" i="9"/>
  <c r="AE16" i="9"/>
  <c r="AB16" i="9"/>
  <c r="Y16" i="9"/>
  <c r="V16" i="9"/>
  <c r="S16" i="9"/>
  <c r="P16" i="9"/>
  <c r="M16" i="9"/>
  <c r="AY15" i="9"/>
  <c r="AX15" i="9"/>
  <c r="AV15" i="9"/>
  <c r="AU15" i="9"/>
  <c r="AW15" i="9"/>
  <c r="AT15" i="9"/>
  <c r="AQ15" i="9"/>
  <c r="AN15" i="9"/>
  <c r="AK15" i="9"/>
  <c r="AH15" i="9"/>
  <c r="AE15" i="9"/>
  <c r="AB15" i="9"/>
  <c r="Y15" i="9"/>
  <c r="V15" i="9"/>
  <c r="S15" i="9"/>
  <c r="P15" i="9"/>
  <c r="M15" i="9"/>
  <c r="AX14" i="9"/>
  <c r="AY14" i="9"/>
  <c r="AV14" i="9"/>
  <c r="AU14" i="9"/>
  <c r="AW14" i="9"/>
  <c r="AT14" i="9"/>
  <c r="AQ14" i="9"/>
  <c r="AN14" i="9"/>
  <c r="AK14" i="9"/>
  <c r="AH14" i="9"/>
  <c r="AE14" i="9"/>
  <c r="AB14" i="9"/>
  <c r="Y14" i="9"/>
  <c r="V14" i="9"/>
  <c r="S14" i="9"/>
  <c r="P14" i="9"/>
  <c r="M14" i="9"/>
  <c r="AY13" i="9"/>
  <c r="AX13" i="9"/>
  <c r="AV13" i="9"/>
  <c r="AU13" i="9"/>
  <c r="AW13" i="9"/>
  <c r="AT13" i="9"/>
  <c r="AQ13" i="9"/>
  <c r="AN13" i="9"/>
  <c r="AK13" i="9"/>
  <c r="AH13" i="9"/>
  <c r="AE13" i="9"/>
  <c r="AB13" i="9"/>
  <c r="Y13" i="9"/>
  <c r="V13" i="9"/>
  <c r="S13" i="9"/>
  <c r="P13" i="9"/>
  <c r="M13" i="9"/>
  <c r="AX12" i="9"/>
  <c r="AY12" i="9"/>
  <c r="AV12" i="9"/>
  <c r="AW12" i="9"/>
  <c r="AU12" i="9"/>
  <c r="AT12" i="9"/>
  <c r="AQ12" i="9"/>
  <c r="AN12" i="9"/>
  <c r="AK12" i="9"/>
  <c r="AH12" i="9"/>
  <c r="AE12" i="9"/>
  <c r="AB12" i="9"/>
  <c r="Y12" i="9"/>
  <c r="V12" i="9"/>
  <c r="S12" i="9"/>
  <c r="P12" i="9"/>
  <c r="M12" i="9"/>
  <c r="AX11" i="9"/>
  <c r="AY11" i="9"/>
  <c r="AW11" i="9"/>
  <c r="AV11" i="9"/>
  <c r="AU11" i="9"/>
  <c r="AT11" i="9"/>
  <c r="AQ11" i="9"/>
  <c r="AN11" i="9"/>
  <c r="AK11" i="9"/>
  <c r="AH11" i="9"/>
  <c r="AE11" i="9"/>
  <c r="AB11" i="9"/>
  <c r="Y11" i="9"/>
  <c r="V11" i="9"/>
  <c r="S11" i="9"/>
  <c r="P11" i="9"/>
  <c r="M11" i="9"/>
  <c r="AX10" i="9"/>
  <c r="AY10" i="9"/>
  <c r="AV10" i="9"/>
  <c r="AW10" i="9"/>
  <c r="AU10" i="9"/>
  <c r="AT10" i="9"/>
  <c r="AQ10" i="9"/>
  <c r="AN10" i="9"/>
  <c r="AK10" i="9"/>
  <c r="AH10" i="9"/>
  <c r="AE10" i="9"/>
  <c r="AB10" i="9"/>
  <c r="Y10" i="9"/>
  <c r="V10" i="9"/>
  <c r="S10" i="9"/>
  <c r="P10" i="9"/>
  <c r="M10" i="9"/>
  <c r="AY9" i="9"/>
  <c r="AX9" i="9"/>
  <c r="AV9" i="9"/>
  <c r="AU9" i="9"/>
  <c r="AT9" i="9"/>
  <c r="AQ9" i="9"/>
  <c r="AN9" i="9"/>
  <c r="AK9" i="9"/>
  <c r="AH9" i="9"/>
  <c r="AE9" i="9"/>
  <c r="AB9" i="9"/>
  <c r="Y9" i="9"/>
  <c r="V9" i="9"/>
  <c r="S9" i="9"/>
  <c r="P9" i="9"/>
  <c r="M9" i="9"/>
  <c r="AY8" i="9"/>
  <c r="AX8" i="9"/>
  <c r="AV8" i="9"/>
  <c r="AU8" i="9"/>
  <c r="AW8" i="9"/>
  <c r="AT8" i="9"/>
  <c r="AQ8" i="9"/>
  <c r="AN8" i="9"/>
  <c r="AK8" i="9"/>
  <c r="AH8" i="9"/>
  <c r="AE8" i="9"/>
  <c r="AB8" i="9"/>
  <c r="Y8" i="9"/>
  <c r="V8" i="9"/>
  <c r="S8" i="9"/>
  <c r="P8" i="9"/>
  <c r="M8" i="9"/>
  <c r="AY7" i="9"/>
  <c r="AX7" i="9"/>
  <c r="AW7" i="9"/>
  <c r="AV7" i="9"/>
  <c r="AU7" i="9"/>
  <c r="AT7" i="9"/>
  <c r="AQ7" i="9"/>
  <c r="AN7" i="9"/>
  <c r="AK7" i="9"/>
  <c r="AH7" i="9"/>
  <c r="AE7" i="9"/>
  <c r="AB7" i="9"/>
  <c r="Y7" i="9"/>
  <c r="V7" i="9"/>
  <c r="S7" i="9"/>
  <c r="P7" i="9"/>
  <c r="M7" i="9"/>
  <c r="AY6" i="9"/>
  <c r="AX6" i="9"/>
  <c r="AW6" i="9"/>
  <c r="AV6" i="9"/>
  <c r="AU6" i="9"/>
  <c r="AT6" i="9"/>
  <c r="AQ6" i="9"/>
  <c r="AN6" i="9"/>
  <c r="AK6" i="9"/>
  <c r="AH6" i="9"/>
  <c r="AE6" i="9"/>
  <c r="AB6" i="9"/>
  <c r="Y6" i="9"/>
  <c r="V6" i="9"/>
  <c r="S6" i="9"/>
  <c r="P6" i="9"/>
  <c r="M6" i="9"/>
  <c r="AX5" i="9"/>
  <c r="AY5" i="9"/>
  <c r="AV5" i="9"/>
  <c r="AU5" i="9"/>
  <c r="AW5" i="9"/>
  <c r="AT5" i="9"/>
  <c r="AQ5" i="9"/>
  <c r="AN5" i="9"/>
  <c r="AK5" i="9"/>
  <c r="AH5" i="9"/>
  <c r="AE5" i="9"/>
  <c r="AB5" i="9"/>
  <c r="Y5" i="9"/>
  <c r="V5" i="9"/>
  <c r="S5" i="9"/>
  <c r="P5" i="9"/>
  <c r="M5" i="9"/>
  <c r="AX4" i="9"/>
  <c r="AY4" i="9"/>
  <c r="AW4" i="9"/>
  <c r="AV4" i="9"/>
  <c r="AU4" i="9"/>
  <c r="AT4" i="9"/>
  <c r="AQ4" i="9"/>
  <c r="AN4" i="9"/>
  <c r="AK4" i="9"/>
  <c r="AH4" i="9"/>
  <c r="AE4" i="9"/>
  <c r="AB4" i="9"/>
  <c r="Y4" i="9"/>
  <c r="V4" i="9"/>
  <c r="S4" i="9"/>
  <c r="P4" i="9"/>
  <c r="M4" i="9"/>
  <c r="AY3" i="9"/>
  <c r="AX3" i="9"/>
  <c r="AV3" i="9"/>
  <c r="AU3" i="9"/>
  <c r="AW3" i="9"/>
  <c r="AT3" i="9"/>
  <c r="AQ3" i="9"/>
  <c r="AN3" i="9"/>
  <c r="AK3" i="9"/>
  <c r="AH3" i="9"/>
  <c r="AE3" i="9"/>
  <c r="AB3" i="9"/>
  <c r="Y3" i="9"/>
  <c r="V3" i="9"/>
  <c r="S3" i="9"/>
  <c r="P3" i="9"/>
  <c r="M3" i="9"/>
  <c r="AX2" i="9"/>
  <c r="AX24" i="9"/>
  <c r="AY24" i="9"/>
  <c r="AV2" i="9"/>
  <c r="AV24" i="9"/>
  <c r="AU2" i="9"/>
  <c r="AT2" i="9"/>
  <c r="AQ2" i="9"/>
  <c r="AN2" i="9"/>
  <c r="AK2" i="9"/>
  <c r="AH2" i="9"/>
  <c r="AE2" i="9"/>
  <c r="AB2" i="9"/>
  <c r="Y2" i="9"/>
  <c r="V2" i="9"/>
  <c r="S2" i="9"/>
  <c r="P2" i="9"/>
  <c r="M2" i="9"/>
  <c r="AS24" i="5"/>
  <c r="AT24" i="5"/>
  <c r="AR24" i="5"/>
  <c r="AQ24" i="5"/>
  <c r="AP24" i="5"/>
  <c r="AO24" i="5"/>
  <c r="AN24" i="5"/>
  <c r="AM24" i="5"/>
  <c r="AL24" i="5"/>
  <c r="AJ24" i="5"/>
  <c r="AI24" i="5"/>
  <c r="AK24" i="5"/>
  <c r="AG24" i="5"/>
  <c r="AH24" i="5"/>
  <c r="AF24" i="5"/>
  <c r="AE24" i="5"/>
  <c r="AD24" i="5"/>
  <c r="AC24" i="5"/>
  <c r="AB24" i="5"/>
  <c r="AA24" i="5"/>
  <c r="Z24" i="5"/>
  <c r="X24" i="5"/>
  <c r="W24" i="5"/>
  <c r="Y24" i="5"/>
  <c r="U24" i="5"/>
  <c r="V24" i="5"/>
  <c r="T24" i="5"/>
  <c r="S24" i="5"/>
  <c r="R24" i="5"/>
  <c r="Q24" i="5"/>
  <c r="P24" i="5"/>
  <c r="O24" i="5"/>
  <c r="N24" i="5"/>
  <c r="L24" i="5"/>
  <c r="K24" i="5"/>
  <c r="M24" i="5"/>
  <c r="J24" i="5"/>
  <c r="AY23" i="5"/>
  <c r="AX23" i="5"/>
  <c r="AW23" i="5"/>
  <c r="AV23" i="5"/>
  <c r="AU23" i="5"/>
  <c r="AT23" i="5"/>
  <c r="AQ23" i="5"/>
  <c r="AN23" i="5"/>
  <c r="AK23" i="5"/>
  <c r="AH23" i="5"/>
  <c r="AE23" i="5"/>
  <c r="AB23" i="5"/>
  <c r="Y23" i="5"/>
  <c r="V23" i="5"/>
  <c r="S23" i="5"/>
  <c r="P23" i="5"/>
  <c r="M23" i="5"/>
  <c r="AY22" i="5"/>
  <c r="AX22" i="5"/>
  <c r="AW22" i="5"/>
  <c r="AV22" i="5"/>
  <c r="AU22" i="5"/>
  <c r="AT22" i="5"/>
  <c r="AQ22" i="5"/>
  <c r="AN22" i="5"/>
  <c r="AK22" i="5"/>
  <c r="AH22" i="5"/>
  <c r="AE22" i="5"/>
  <c r="AB22" i="5"/>
  <c r="Y22" i="5"/>
  <c r="V22" i="5"/>
  <c r="S22" i="5"/>
  <c r="P22" i="5"/>
  <c r="M22" i="5"/>
  <c r="AX21" i="5"/>
  <c r="AY21" i="5"/>
  <c r="AV21" i="5"/>
  <c r="AU21" i="5"/>
  <c r="AW21" i="5"/>
  <c r="AT21" i="5"/>
  <c r="AQ21" i="5"/>
  <c r="AN21" i="5"/>
  <c r="AK21" i="5"/>
  <c r="AH21" i="5"/>
  <c r="AE21" i="5"/>
  <c r="AB21" i="5"/>
  <c r="Y21" i="5"/>
  <c r="V21" i="5"/>
  <c r="S21" i="5"/>
  <c r="P21" i="5"/>
  <c r="M21" i="5"/>
  <c r="AX20" i="5"/>
  <c r="AY20" i="5"/>
  <c r="AW20" i="5"/>
  <c r="AV20" i="5"/>
  <c r="AU20" i="5"/>
  <c r="AT20" i="5"/>
  <c r="AQ20" i="5"/>
  <c r="AN20" i="5"/>
  <c r="AK20" i="5"/>
  <c r="AH20" i="5"/>
  <c r="AE20" i="5"/>
  <c r="AB20" i="5"/>
  <c r="Y20" i="5"/>
  <c r="V20" i="5"/>
  <c r="S20" i="5"/>
  <c r="P20" i="5"/>
  <c r="M20" i="5"/>
  <c r="AX19" i="5"/>
  <c r="AY19" i="5"/>
  <c r="AV19" i="5"/>
  <c r="AU19" i="5"/>
  <c r="AW19" i="5"/>
  <c r="AT19" i="5"/>
  <c r="AQ19" i="5"/>
  <c r="AN19" i="5"/>
  <c r="AK19" i="5"/>
  <c r="AH19" i="5"/>
  <c r="AE19" i="5"/>
  <c r="AB19" i="5"/>
  <c r="Y19" i="5"/>
  <c r="V19" i="5"/>
  <c r="S19" i="5"/>
  <c r="P19" i="5"/>
  <c r="M19" i="5"/>
  <c r="AX18" i="5"/>
  <c r="AY18" i="5"/>
  <c r="AV18" i="5"/>
  <c r="AU18" i="5"/>
  <c r="AW18" i="5"/>
  <c r="AT18" i="5"/>
  <c r="AQ18" i="5"/>
  <c r="AN18" i="5"/>
  <c r="AK18" i="5"/>
  <c r="AH18" i="5"/>
  <c r="AE18" i="5"/>
  <c r="AB18" i="5"/>
  <c r="Y18" i="5"/>
  <c r="V18" i="5"/>
  <c r="S18" i="5"/>
  <c r="P18" i="5"/>
  <c r="M18" i="5"/>
  <c r="AY17" i="5"/>
  <c r="AX17" i="5"/>
  <c r="AV17" i="5"/>
  <c r="AU17" i="5"/>
  <c r="AW17" i="5"/>
  <c r="AT17" i="5"/>
  <c r="AQ17" i="5"/>
  <c r="AN17" i="5"/>
  <c r="AK17" i="5"/>
  <c r="AH17" i="5"/>
  <c r="AE17" i="5"/>
  <c r="AB17" i="5"/>
  <c r="Y17" i="5"/>
  <c r="V17" i="5"/>
  <c r="S17" i="5"/>
  <c r="P17" i="5"/>
  <c r="M17" i="5"/>
  <c r="AX16" i="5"/>
  <c r="AY16" i="5"/>
  <c r="AV16" i="5"/>
  <c r="AW16" i="5"/>
  <c r="AU16" i="5"/>
  <c r="AT16" i="5"/>
  <c r="AQ16" i="5"/>
  <c r="AN16" i="5"/>
  <c r="AK16" i="5"/>
  <c r="AH16" i="5"/>
  <c r="AE16" i="5"/>
  <c r="AB16" i="5"/>
  <c r="Y16" i="5"/>
  <c r="V16" i="5"/>
  <c r="S16" i="5"/>
  <c r="P16" i="5"/>
  <c r="M16" i="5"/>
  <c r="AX15" i="5"/>
  <c r="AY15" i="5"/>
  <c r="AW15" i="5"/>
  <c r="AV15" i="5"/>
  <c r="AU15" i="5"/>
  <c r="AT15" i="5"/>
  <c r="AQ15" i="5"/>
  <c r="AN15" i="5"/>
  <c r="AK15" i="5"/>
  <c r="AH15" i="5"/>
  <c r="AE15" i="5"/>
  <c r="AB15" i="5"/>
  <c r="Y15" i="5"/>
  <c r="V15" i="5"/>
  <c r="S15" i="5"/>
  <c r="P15" i="5"/>
  <c r="M15" i="5"/>
  <c r="AX14" i="5"/>
  <c r="AY14" i="5"/>
  <c r="AV14" i="5"/>
  <c r="AW14" i="5"/>
  <c r="AU14" i="5"/>
  <c r="AT14" i="5"/>
  <c r="AQ14" i="5"/>
  <c r="AN14" i="5"/>
  <c r="AK14" i="5"/>
  <c r="AH14" i="5"/>
  <c r="AE14" i="5"/>
  <c r="AB14" i="5"/>
  <c r="Y14" i="5"/>
  <c r="V14" i="5"/>
  <c r="S14" i="5"/>
  <c r="P14" i="5"/>
  <c r="M14" i="5"/>
  <c r="AY13" i="5"/>
  <c r="AX13" i="5"/>
  <c r="AV13" i="5"/>
  <c r="AU13" i="5"/>
  <c r="AW13" i="5"/>
  <c r="AT13" i="5"/>
  <c r="AQ13" i="5"/>
  <c r="AN13" i="5"/>
  <c r="AK13" i="5"/>
  <c r="AH13" i="5"/>
  <c r="AE13" i="5"/>
  <c r="AB13" i="5"/>
  <c r="Y13" i="5"/>
  <c r="V13" i="5"/>
  <c r="S13" i="5"/>
  <c r="P13" i="5"/>
  <c r="M13" i="5"/>
  <c r="AY12" i="5"/>
  <c r="AX12" i="5"/>
  <c r="AV12" i="5"/>
  <c r="AU12" i="5"/>
  <c r="AW12" i="5"/>
  <c r="AT12" i="5"/>
  <c r="AQ12" i="5"/>
  <c r="AN12" i="5"/>
  <c r="AK12" i="5"/>
  <c r="AH12" i="5"/>
  <c r="AE12" i="5"/>
  <c r="AB12" i="5"/>
  <c r="Y12" i="5"/>
  <c r="V12" i="5"/>
  <c r="S12" i="5"/>
  <c r="P12" i="5"/>
  <c r="M12" i="5"/>
  <c r="AY11" i="5"/>
  <c r="AX11" i="5"/>
  <c r="AW11" i="5"/>
  <c r="AV11" i="5"/>
  <c r="AU11" i="5"/>
  <c r="AT11" i="5"/>
  <c r="AQ11" i="5"/>
  <c r="AN11" i="5"/>
  <c r="AK11" i="5"/>
  <c r="AH11" i="5"/>
  <c r="AE11" i="5"/>
  <c r="AB11" i="5"/>
  <c r="Y11" i="5"/>
  <c r="V11" i="5"/>
  <c r="S11" i="5"/>
  <c r="P11" i="5"/>
  <c r="M11" i="5"/>
  <c r="AY10" i="5"/>
  <c r="AX10" i="5"/>
  <c r="AW10" i="5"/>
  <c r="AV10" i="5"/>
  <c r="AU10" i="5"/>
  <c r="AT10" i="5"/>
  <c r="AQ10" i="5"/>
  <c r="AN10" i="5"/>
  <c r="AK10" i="5"/>
  <c r="AH10" i="5"/>
  <c r="AE10" i="5"/>
  <c r="AB10" i="5"/>
  <c r="Y10" i="5"/>
  <c r="V10" i="5"/>
  <c r="S10" i="5"/>
  <c r="P10" i="5"/>
  <c r="M10" i="5"/>
  <c r="AX9" i="5"/>
  <c r="AY9" i="5"/>
  <c r="AV9" i="5"/>
  <c r="AU9" i="5"/>
  <c r="AW9" i="5"/>
  <c r="AT9" i="5"/>
  <c r="AQ9" i="5"/>
  <c r="AN9" i="5"/>
  <c r="AK9" i="5"/>
  <c r="AH9" i="5"/>
  <c r="AE9" i="5"/>
  <c r="AB9" i="5"/>
  <c r="Y9" i="5"/>
  <c r="V9" i="5"/>
  <c r="S9" i="5"/>
  <c r="P9" i="5"/>
  <c r="M9" i="5"/>
  <c r="AX8" i="5"/>
  <c r="AY8" i="5"/>
  <c r="AW8" i="5"/>
  <c r="AV8" i="5"/>
  <c r="AU8" i="5"/>
  <c r="AT8" i="5"/>
  <c r="AQ8" i="5"/>
  <c r="AN8" i="5"/>
  <c r="AK8" i="5"/>
  <c r="AH8" i="5"/>
  <c r="AE8" i="5"/>
  <c r="AB8" i="5"/>
  <c r="Y8" i="5"/>
  <c r="V8" i="5"/>
  <c r="S8" i="5"/>
  <c r="P8" i="5"/>
  <c r="M8" i="5"/>
  <c r="AX7" i="5"/>
  <c r="AY7" i="5"/>
  <c r="AV7" i="5"/>
  <c r="AU7" i="5"/>
  <c r="AW7" i="5"/>
  <c r="AT7" i="5"/>
  <c r="AQ7" i="5"/>
  <c r="AN7" i="5"/>
  <c r="AK7" i="5"/>
  <c r="AH7" i="5"/>
  <c r="AE7" i="5"/>
  <c r="AB7" i="5"/>
  <c r="Y7" i="5"/>
  <c r="V7" i="5"/>
  <c r="S7" i="5"/>
  <c r="P7" i="5"/>
  <c r="M7" i="5"/>
  <c r="AX6" i="5"/>
  <c r="AY6" i="5"/>
  <c r="AV6" i="5"/>
  <c r="AU6" i="5"/>
  <c r="AW6" i="5"/>
  <c r="AT6" i="5"/>
  <c r="AQ6" i="5"/>
  <c r="AN6" i="5"/>
  <c r="AK6" i="5"/>
  <c r="AH6" i="5"/>
  <c r="AE6" i="5"/>
  <c r="AB6" i="5"/>
  <c r="Y6" i="5"/>
  <c r="V6" i="5"/>
  <c r="S6" i="5"/>
  <c r="P6" i="5"/>
  <c r="M6" i="5"/>
  <c r="AY5" i="5"/>
  <c r="AX5" i="5"/>
  <c r="AV5" i="5"/>
  <c r="AU5" i="5"/>
  <c r="AW5" i="5"/>
  <c r="AT5" i="5"/>
  <c r="AQ5" i="5"/>
  <c r="AN5" i="5"/>
  <c r="AK5" i="5"/>
  <c r="AH5" i="5"/>
  <c r="AE5" i="5"/>
  <c r="AB5" i="5"/>
  <c r="Y5" i="5"/>
  <c r="V5" i="5"/>
  <c r="S5" i="5"/>
  <c r="P5" i="5"/>
  <c r="M5" i="5"/>
  <c r="AX4" i="5"/>
  <c r="AY4" i="5"/>
  <c r="AV4" i="5"/>
  <c r="AW4" i="5"/>
  <c r="AU4" i="5"/>
  <c r="AT4" i="5"/>
  <c r="AQ4" i="5"/>
  <c r="AN4" i="5"/>
  <c r="AK4" i="5"/>
  <c r="AH4" i="5"/>
  <c r="AE4" i="5"/>
  <c r="AB4" i="5"/>
  <c r="Y4" i="5"/>
  <c r="V4" i="5"/>
  <c r="S4" i="5"/>
  <c r="P4" i="5"/>
  <c r="M4" i="5"/>
  <c r="AX3" i="5"/>
  <c r="AY3" i="5"/>
  <c r="AW3" i="5"/>
  <c r="AV3" i="5"/>
  <c r="AU3" i="5"/>
  <c r="AT3" i="5"/>
  <c r="AQ3" i="5"/>
  <c r="AN3" i="5"/>
  <c r="AK3" i="5"/>
  <c r="AH3" i="5"/>
  <c r="AE3" i="5"/>
  <c r="AB3" i="5"/>
  <c r="Y3" i="5"/>
  <c r="V3" i="5"/>
  <c r="S3" i="5"/>
  <c r="P3" i="5"/>
  <c r="M3" i="5"/>
  <c r="AX2" i="5"/>
  <c r="AX24" i="5"/>
  <c r="AY24" i="5"/>
  <c r="AV2" i="5"/>
  <c r="AV24" i="5"/>
  <c r="AU2" i="5"/>
  <c r="AT2" i="5"/>
  <c r="AQ2" i="5"/>
  <c r="AN2" i="5"/>
  <c r="AK2" i="5"/>
  <c r="AH2" i="5"/>
  <c r="AE2" i="5"/>
  <c r="AB2" i="5"/>
  <c r="Y2" i="5"/>
  <c r="V2" i="5"/>
  <c r="S2" i="5"/>
  <c r="P2" i="5"/>
  <c r="M2" i="5"/>
  <c r="AS24" i="8"/>
  <c r="AR24" i="8"/>
  <c r="AT24" i="8"/>
  <c r="AP24" i="8"/>
  <c r="AO24" i="8"/>
  <c r="AQ24" i="8"/>
  <c r="AM24" i="8"/>
  <c r="AN24" i="8"/>
  <c r="AL24" i="8"/>
  <c r="AJ24" i="8"/>
  <c r="AI24" i="8"/>
  <c r="AK24" i="8"/>
  <c r="AG24" i="8"/>
  <c r="AF24" i="8"/>
  <c r="AH24" i="8"/>
  <c r="AD24" i="8"/>
  <c r="AC24" i="8"/>
  <c r="AE24" i="8"/>
  <c r="AA24" i="8"/>
  <c r="AB24" i="8"/>
  <c r="Z24" i="8"/>
  <c r="X24" i="8"/>
  <c r="W24" i="8"/>
  <c r="Y24" i="8"/>
  <c r="U24" i="8"/>
  <c r="T24" i="8"/>
  <c r="V24" i="8"/>
  <c r="R24" i="8"/>
  <c r="Q24" i="8"/>
  <c r="S24" i="8"/>
  <c r="O24" i="8"/>
  <c r="P24" i="8"/>
  <c r="N24" i="8"/>
  <c r="L24" i="8"/>
  <c r="K24" i="8"/>
  <c r="M24" i="8"/>
  <c r="J24" i="8"/>
  <c r="AX23" i="8"/>
  <c r="AY23" i="8"/>
  <c r="AV23" i="8"/>
  <c r="AU23" i="8"/>
  <c r="AW23" i="8"/>
  <c r="AT23" i="8"/>
  <c r="AQ23" i="8"/>
  <c r="AN23" i="8"/>
  <c r="AK23" i="8"/>
  <c r="AH23" i="8"/>
  <c r="AE23" i="8"/>
  <c r="AB23" i="8"/>
  <c r="Y23" i="8"/>
  <c r="V23" i="8"/>
  <c r="S23" i="8"/>
  <c r="P23" i="8"/>
  <c r="M23" i="8"/>
  <c r="AX22" i="8"/>
  <c r="AY22" i="8"/>
  <c r="AV22" i="8"/>
  <c r="AU22" i="8"/>
  <c r="AW22" i="8"/>
  <c r="AT22" i="8"/>
  <c r="AQ22" i="8"/>
  <c r="AN22" i="8"/>
  <c r="AK22" i="8"/>
  <c r="AH22" i="8"/>
  <c r="AE22" i="8"/>
  <c r="AB22" i="8"/>
  <c r="Y22" i="8"/>
  <c r="V22" i="8"/>
  <c r="S22" i="8"/>
  <c r="P22" i="8"/>
  <c r="M22" i="8"/>
  <c r="AY21" i="8"/>
  <c r="AX21" i="8"/>
  <c r="AV21" i="8"/>
  <c r="AU21" i="8"/>
  <c r="AW21" i="8"/>
  <c r="AT21" i="8"/>
  <c r="AQ21" i="8"/>
  <c r="AN21" i="8"/>
  <c r="AK21" i="8"/>
  <c r="AH21" i="8"/>
  <c r="AE21" i="8"/>
  <c r="AB21" i="8"/>
  <c r="Y21" i="8"/>
  <c r="V21" i="8"/>
  <c r="S21" i="8"/>
  <c r="P21" i="8"/>
  <c r="M21" i="8"/>
  <c r="AX20" i="8"/>
  <c r="AY20" i="8"/>
  <c r="AV20" i="8"/>
  <c r="AW20" i="8"/>
  <c r="AU20" i="8"/>
  <c r="AT20" i="8"/>
  <c r="AQ20" i="8"/>
  <c r="AN20" i="8"/>
  <c r="AK20" i="8"/>
  <c r="AH20" i="8"/>
  <c r="AE20" i="8"/>
  <c r="AB20" i="8"/>
  <c r="Y20" i="8"/>
  <c r="V20" i="8"/>
  <c r="S20" i="8"/>
  <c r="P20" i="8"/>
  <c r="M20" i="8"/>
  <c r="AX19" i="8"/>
  <c r="AY19" i="8"/>
  <c r="AW19" i="8"/>
  <c r="AV19" i="8"/>
  <c r="AU19" i="8"/>
  <c r="AT19" i="8"/>
  <c r="AQ19" i="8"/>
  <c r="AN19" i="8"/>
  <c r="AK19" i="8"/>
  <c r="AH19" i="8"/>
  <c r="AE19" i="8"/>
  <c r="AB19" i="8"/>
  <c r="Y19" i="8"/>
  <c r="V19" i="8"/>
  <c r="S19" i="8"/>
  <c r="P19" i="8"/>
  <c r="M19" i="8"/>
  <c r="AX18" i="8"/>
  <c r="AY18" i="8"/>
  <c r="AV18" i="8"/>
  <c r="AW18" i="8"/>
  <c r="AU18" i="8"/>
  <c r="AT18" i="8"/>
  <c r="AQ18" i="8"/>
  <c r="AN18" i="8"/>
  <c r="AK18" i="8"/>
  <c r="AH18" i="8"/>
  <c r="AE18" i="8"/>
  <c r="AB18" i="8"/>
  <c r="Y18" i="8"/>
  <c r="V18" i="8"/>
  <c r="S18" i="8"/>
  <c r="P18" i="8"/>
  <c r="M18" i="8"/>
  <c r="AY17" i="8"/>
  <c r="AX17" i="8"/>
  <c r="AV17" i="8"/>
  <c r="AU17" i="8"/>
  <c r="AT17" i="8"/>
  <c r="AQ17" i="8"/>
  <c r="AN17" i="8"/>
  <c r="AK17" i="8"/>
  <c r="AH17" i="8"/>
  <c r="AE17" i="8"/>
  <c r="AB17" i="8"/>
  <c r="Y17" i="8"/>
  <c r="V17" i="8"/>
  <c r="S17" i="8"/>
  <c r="P17" i="8"/>
  <c r="M17" i="8"/>
  <c r="AY16" i="8"/>
  <c r="AX16" i="8"/>
  <c r="AV16" i="8"/>
  <c r="AU16" i="8"/>
  <c r="AW16" i="8"/>
  <c r="AT16" i="8"/>
  <c r="AQ16" i="8"/>
  <c r="AN16" i="8"/>
  <c r="AK16" i="8"/>
  <c r="AH16" i="8"/>
  <c r="AE16" i="8"/>
  <c r="AB16" i="8"/>
  <c r="Y16" i="8"/>
  <c r="V16" i="8"/>
  <c r="S16" i="8"/>
  <c r="P16" i="8"/>
  <c r="M16" i="8"/>
  <c r="AY15" i="8"/>
  <c r="AX15" i="8"/>
  <c r="AW15" i="8"/>
  <c r="AV15" i="8"/>
  <c r="AU15" i="8"/>
  <c r="AT15" i="8"/>
  <c r="AQ15" i="8"/>
  <c r="AN15" i="8"/>
  <c r="AK15" i="8"/>
  <c r="AH15" i="8"/>
  <c r="AE15" i="8"/>
  <c r="AB15" i="8"/>
  <c r="Y15" i="8"/>
  <c r="V15" i="8"/>
  <c r="S15" i="8"/>
  <c r="P15" i="8"/>
  <c r="M15" i="8"/>
  <c r="AY14" i="8"/>
  <c r="AX14" i="8"/>
  <c r="AV14" i="8"/>
  <c r="AU14" i="8"/>
  <c r="AW14" i="8"/>
  <c r="AT14" i="8"/>
  <c r="AQ14" i="8"/>
  <c r="AN14" i="8"/>
  <c r="AK14" i="8"/>
  <c r="AH14" i="8"/>
  <c r="AE14" i="8"/>
  <c r="AB14" i="8"/>
  <c r="Y14" i="8"/>
  <c r="V14" i="8"/>
  <c r="S14" i="8"/>
  <c r="P14" i="8"/>
  <c r="M14" i="8"/>
  <c r="AX13" i="8"/>
  <c r="AY13" i="8"/>
  <c r="AW13" i="8"/>
  <c r="AV13" i="8"/>
  <c r="AU13" i="8"/>
  <c r="AT13" i="8"/>
  <c r="AQ13" i="8"/>
  <c r="AN13" i="8"/>
  <c r="AK13" i="8"/>
  <c r="AH13" i="8"/>
  <c r="AE13" i="8"/>
  <c r="AB13" i="8"/>
  <c r="Y13" i="8"/>
  <c r="V13" i="8"/>
  <c r="S13" i="8"/>
  <c r="P13" i="8"/>
  <c r="M13" i="8"/>
  <c r="AX12" i="8"/>
  <c r="AY12" i="8"/>
  <c r="AW12" i="8"/>
  <c r="AV12" i="8"/>
  <c r="AU12" i="8"/>
  <c r="AT12" i="8"/>
  <c r="AQ12" i="8"/>
  <c r="AN12" i="8"/>
  <c r="AK12" i="8"/>
  <c r="AH12" i="8"/>
  <c r="AE12" i="8"/>
  <c r="AB12" i="8"/>
  <c r="Y12" i="8"/>
  <c r="V12" i="8"/>
  <c r="S12" i="8"/>
  <c r="P12" i="8"/>
  <c r="M12" i="8"/>
  <c r="AX11" i="8"/>
  <c r="AY11" i="8"/>
  <c r="AV11" i="8"/>
  <c r="AU11" i="8"/>
  <c r="AW11" i="8"/>
  <c r="AT11" i="8"/>
  <c r="AQ11" i="8"/>
  <c r="AN11" i="8"/>
  <c r="AK11" i="8"/>
  <c r="AH11" i="8"/>
  <c r="AE11" i="8"/>
  <c r="AB11" i="8"/>
  <c r="Y11" i="8"/>
  <c r="V11" i="8"/>
  <c r="S11" i="8"/>
  <c r="P11" i="8"/>
  <c r="M11" i="8"/>
  <c r="AX10" i="8"/>
  <c r="AY10" i="8"/>
  <c r="AV10" i="8"/>
  <c r="AU10" i="8"/>
  <c r="AW10" i="8"/>
  <c r="AT10" i="8"/>
  <c r="AQ10" i="8"/>
  <c r="AN10" i="8"/>
  <c r="AK10" i="8"/>
  <c r="AH10" i="8"/>
  <c r="AE10" i="8"/>
  <c r="AB10" i="8"/>
  <c r="Y10" i="8"/>
  <c r="V10" i="8"/>
  <c r="S10" i="8"/>
  <c r="P10" i="8"/>
  <c r="M10" i="8"/>
  <c r="AY9" i="8"/>
  <c r="AX9" i="8"/>
  <c r="AV9" i="8"/>
  <c r="AU9" i="8"/>
  <c r="AW9" i="8"/>
  <c r="AT9" i="8"/>
  <c r="AQ9" i="8"/>
  <c r="AN9" i="8"/>
  <c r="AK9" i="8"/>
  <c r="AH9" i="8"/>
  <c r="AE9" i="8"/>
  <c r="AB9" i="8"/>
  <c r="Y9" i="8"/>
  <c r="V9" i="8"/>
  <c r="S9" i="8"/>
  <c r="P9" i="8"/>
  <c r="M9" i="8"/>
  <c r="AX8" i="8"/>
  <c r="AY8" i="8"/>
  <c r="AV8" i="8"/>
  <c r="AW8" i="8"/>
  <c r="AU8" i="8"/>
  <c r="AT8" i="8"/>
  <c r="AQ8" i="8"/>
  <c r="AN8" i="8"/>
  <c r="AK8" i="8"/>
  <c r="AH8" i="8"/>
  <c r="AE8" i="8"/>
  <c r="AB8" i="8"/>
  <c r="Y8" i="8"/>
  <c r="V8" i="8"/>
  <c r="S8" i="8"/>
  <c r="P8" i="8"/>
  <c r="M8" i="8"/>
  <c r="AX7" i="8"/>
  <c r="AY7" i="8"/>
  <c r="AW7" i="8"/>
  <c r="AV7" i="8"/>
  <c r="AU7" i="8"/>
  <c r="AT7" i="8"/>
  <c r="AQ7" i="8"/>
  <c r="AN7" i="8"/>
  <c r="AK7" i="8"/>
  <c r="AH7" i="8"/>
  <c r="AE7" i="8"/>
  <c r="AB7" i="8"/>
  <c r="Y7" i="8"/>
  <c r="V7" i="8"/>
  <c r="S7" i="8"/>
  <c r="P7" i="8"/>
  <c r="M7" i="8"/>
  <c r="AX6" i="8"/>
  <c r="AY6" i="8"/>
  <c r="AV6" i="8"/>
  <c r="AW6" i="8"/>
  <c r="AU6" i="8"/>
  <c r="AT6" i="8"/>
  <c r="AQ6" i="8"/>
  <c r="AN6" i="8"/>
  <c r="AK6" i="8"/>
  <c r="AH6" i="8"/>
  <c r="AE6" i="8"/>
  <c r="AB6" i="8"/>
  <c r="Y6" i="8"/>
  <c r="V6" i="8"/>
  <c r="S6" i="8"/>
  <c r="P6" i="8"/>
  <c r="M6" i="8"/>
  <c r="AY5" i="8"/>
  <c r="AX5" i="8"/>
  <c r="AV5" i="8"/>
  <c r="AV24" i="8"/>
  <c r="AU5" i="8"/>
  <c r="AW5" i="8"/>
  <c r="AT5" i="8"/>
  <c r="AQ5" i="8"/>
  <c r="AN5" i="8"/>
  <c r="AK5" i="8"/>
  <c r="AH5" i="8"/>
  <c r="AE5" i="8"/>
  <c r="AB5" i="8"/>
  <c r="Y5" i="8"/>
  <c r="V5" i="8"/>
  <c r="S5" i="8"/>
  <c r="P5" i="8"/>
  <c r="M5" i="8"/>
  <c r="AY4" i="8"/>
  <c r="AX4" i="8"/>
  <c r="AV4" i="8"/>
  <c r="AU4" i="8"/>
  <c r="AW4" i="8"/>
  <c r="AT4" i="8"/>
  <c r="AQ4" i="8"/>
  <c r="AN4" i="8"/>
  <c r="AK4" i="8"/>
  <c r="AH4" i="8"/>
  <c r="AE4" i="8"/>
  <c r="AB4" i="8"/>
  <c r="Y4" i="8"/>
  <c r="V4" i="8"/>
  <c r="S4" i="8"/>
  <c r="P4" i="8"/>
  <c r="M4" i="8"/>
  <c r="AY3" i="8"/>
  <c r="AX3" i="8"/>
  <c r="AW3" i="8"/>
  <c r="AV3" i="8"/>
  <c r="AU3" i="8"/>
  <c r="AT3" i="8"/>
  <c r="AQ3" i="8"/>
  <c r="AN3" i="8"/>
  <c r="AK3" i="8"/>
  <c r="AH3" i="8"/>
  <c r="AE3" i="8"/>
  <c r="AB3" i="8"/>
  <c r="Y3" i="8"/>
  <c r="V3" i="8"/>
  <c r="S3" i="8"/>
  <c r="P3" i="8"/>
  <c r="M3" i="8"/>
  <c r="AY2" i="8"/>
  <c r="AX2" i="8"/>
  <c r="AX24" i="8"/>
  <c r="AY24" i="8"/>
  <c r="AV2" i="8"/>
  <c r="AU2" i="8"/>
  <c r="AT2" i="8"/>
  <c r="AQ2" i="8"/>
  <c r="AN2" i="8"/>
  <c r="AK2" i="8"/>
  <c r="AH2" i="8"/>
  <c r="AE2" i="8"/>
  <c r="AB2" i="8"/>
  <c r="Y2" i="8"/>
  <c r="V2" i="8"/>
  <c r="S2" i="8"/>
  <c r="P2" i="8"/>
  <c r="M2" i="8"/>
  <c r="AJ25" i="10"/>
  <c r="AG25" i="10"/>
  <c r="AT24" i="10"/>
  <c r="AS24" i="10"/>
  <c r="AR24" i="10"/>
  <c r="AP24" i="10"/>
  <c r="AO24" i="10"/>
  <c r="AQ24" i="10"/>
  <c r="AM24" i="10"/>
  <c r="AL24" i="10"/>
  <c r="AN24" i="10"/>
  <c r="AK24" i="10"/>
  <c r="AJ24" i="10"/>
  <c r="AI24" i="10"/>
  <c r="AH24" i="10"/>
  <c r="AG24" i="10"/>
  <c r="AF24" i="10"/>
  <c r="AD24" i="10"/>
  <c r="AC24" i="10"/>
  <c r="AE24" i="10"/>
  <c r="AA24" i="10"/>
  <c r="Z24" i="10"/>
  <c r="AB24" i="10"/>
  <c r="Y24" i="10"/>
  <c r="X24" i="10"/>
  <c r="W24" i="10"/>
  <c r="V24" i="10"/>
  <c r="U24" i="10"/>
  <c r="T24" i="10"/>
  <c r="R24" i="10"/>
  <c r="Q24" i="10"/>
  <c r="S24" i="10"/>
  <c r="O24" i="10"/>
  <c r="N24" i="10"/>
  <c r="P24" i="10"/>
  <c r="M24" i="10"/>
  <c r="L24" i="10"/>
  <c r="K24" i="10"/>
  <c r="J24" i="10"/>
  <c r="AY23" i="10"/>
  <c r="AX23" i="10"/>
  <c r="AV23" i="10"/>
  <c r="AU23" i="10"/>
  <c r="AW23" i="10"/>
  <c r="AT23" i="10"/>
  <c r="AQ23" i="10"/>
  <c r="AN23" i="10"/>
  <c r="AK23" i="10"/>
  <c r="AH23" i="10"/>
  <c r="AE23" i="10"/>
  <c r="AB23" i="10"/>
  <c r="Y23" i="10"/>
  <c r="V23" i="10"/>
  <c r="S23" i="10"/>
  <c r="P23" i="10"/>
  <c r="M23" i="10"/>
  <c r="AX22" i="10"/>
  <c r="AY22" i="10"/>
  <c r="AV22" i="10"/>
  <c r="AW22" i="10"/>
  <c r="AU22" i="10"/>
  <c r="AT22" i="10"/>
  <c r="AQ22" i="10"/>
  <c r="AN22" i="10"/>
  <c r="AK22" i="10"/>
  <c r="AH22" i="10"/>
  <c r="AE22" i="10"/>
  <c r="AB22" i="10"/>
  <c r="Y22" i="10"/>
  <c r="V22" i="10"/>
  <c r="S22" i="10"/>
  <c r="P22" i="10"/>
  <c r="M22" i="10"/>
  <c r="AX21" i="10"/>
  <c r="AY21" i="10"/>
  <c r="AW21" i="10"/>
  <c r="AV21" i="10"/>
  <c r="AU21" i="10"/>
  <c r="AT21" i="10"/>
  <c r="AQ21" i="10"/>
  <c r="AN21" i="10"/>
  <c r="AK21" i="10"/>
  <c r="AH21" i="10"/>
  <c r="AE21" i="10"/>
  <c r="AB21" i="10"/>
  <c r="Y21" i="10"/>
  <c r="V21" i="10"/>
  <c r="S21" i="10"/>
  <c r="P21" i="10"/>
  <c r="M21" i="10"/>
  <c r="AX20" i="10"/>
  <c r="AY20" i="10"/>
  <c r="AV20" i="10"/>
  <c r="AU20" i="10"/>
  <c r="AW20" i="10"/>
  <c r="AT20" i="10"/>
  <c r="AQ20" i="10"/>
  <c r="AN20" i="10"/>
  <c r="AK20" i="10"/>
  <c r="AH20" i="10"/>
  <c r="AE20" i="10"/>
  <c r="AB20" i="10"/>
  <c r="Y20" i="10"/>
  <c r="V20" i="10"/>
  <c r="S20" i="10"/>
  <c r="P20" i="10"/>
  <c r="M20" i="10"/>
  <c r="AY19" i="10"/>
  <c r="AX19" i="10"/>
  <c r="AV19" i="10"/>
  <c r="AU19" i="10"/>
  <c r="AT19" i="10"/>
  <c r="AQ19" i="10"/>
  <c r="AN19" i="10"/>
  <c r="AK19" i="10"/>
  <c r="AH19" i="10"/>
  <c r="AE19" i="10"/>
  <c r="AB19" i="10"/>
  <c r="Y19" i="10"/>
  <c r="V19" i="10"/>
  <c r="S19" i="10"/>
  <c r="P19" i="10"/>
  <c r="M19" i="10"/>
  <c r="AY18" i="10"/>
  <c r="AX18" i="10"/>
  <c r="AV18" i="10"/>
  <c r="AU18" i="10"/>
  <c r="AW18" i="10"/>
  <c r="AT18" i="10"/>
  <c r="AQ18" i="10"/>
  <c r="AN18" i="10"/>
  <c r="AK18" i="10"/>
  <c r="AH18" i="10"/>
  <c r="AE18" i="10"/>
  <c r="AB18" i="10"/>
  <c r="Y18" i="10"/>
  <c r="V18" i="10"/>
  <c r="S18" i="10"/>
  <c r="P18" i="10"/>
  <c r="M18" i="10"/>
  <c r="AY17" i="10"/>
  <c r="AX17" i="10"/>
  <c r="AW17" i="10"/>
  <c r="AV17" i="10"/>
  <c r="AU17" i="10"/>
  <c r="AT17" i="10"/>
  <c r="AQ17" i="10"/>
  <c r="AN17" i="10"/>
  <c r="AK17" i="10"/>
  <c r="AH17" i="10"/>
  <c r="AE17" i="10"/>
  <c r="AB17" i="10"/>
  <c r="Y17" i="10"/>
  <c r="V17" i="10"/>
  <c r="S17" i="10"/>
  <c r="P17" i="10"/>
  <c r="M17" i="10"/>
  <c r="AY16" i="10"/>
  <c r="AX16" i="10"/>
  <c r="AV16" i="10"/>
  <c r="AU16" i="10"/>
  <c r="AW16" i="10"/>
  <c r="AT16" i="10"/>
  <c r="AQ16" i="10"/>
  <c r="AN16" i="10"/>
  <c r="AK16" i="10"/>
  <c r="AH16" i="10"/>
  <c r="AE16" i="10"/>
  <c r="AB16" i="10"/>
  <c r="Y16" i="10"/>
  <c r="V16" i="10"/>
  <c r="S16" i="10"/>
  <c r="P16" i="10"/>
  <c r="M16" i="10"/>
  <c r="AY15" i="10"/>
  <c r="AX15" i="10"/>
  <c r="AW15" i="10"/>
  <c r="AV15" i="10"/>
  <c r="AU15" i="10"/>
  <c r="AT15" i="10"/>
  <c r="AQ15" i="10"/>
  <c r="AN15" i="10"/>
  <c r="AK15" i="10"/>
  <c r="AH15" i="10"/>
  <c r="AE15" i="10"/>
  <c r="AB15" i="10"/>
  <c r="Y15" i="10"/>
  <c r="V15" i="10"/>
  <c r="S15" i="10"/>
  <c r="P15" i="10"/>
  <c r="M15" i="10"/>
  <c r="AX14" i="10"/>
  <c r="AY14" i="10"/>
  <c r="AW14" i="10"/>
  <c r="AV14" i="10"/>
  <c r="AU14" i="10"/>
  <c r="AT14" i="10"/>
  <c r="AQ14" i="10"/>
  <c r="AN14" i="10"/>
  <c r="AK14" i="10"/>
  <c r="AH14" i="10"/>
  <c r="AE14" i="10"/>
  <c r="AB14" i="10"/>
  <c r="Y14" i="10"/>
  <c r="V14" i="10"/>
  <c r="S14" i="10"/>
  <c r="P14" i="10"/>
  <c r="M14" i="10"/>
  <c r="AX13" i="10"/>
  <c r="AY13" i="10"/>
  <c r="AV13" i="10"/>
  <c r="AU13" i="10"/>
  <c r="AW13" i="10"/>
  <c r="AT13" i="10"/>
  <c r="AQ13" i="10"/>
  <c r="AN13" i="10"/>
  <c r="AK13" i="10"/>
  <c r="AH13" i="10"/>
  <c r="AE13" i="10"/>
  <c r="AB13" i="10"/>
  <c r="Y13" i="10"/>
  <c r="V13" i="10"/>
  <c r="S13" i="10"/>
  <c r="P13" i="10"/>
  <c r="M13" i="10"/>
  <c r="AX12" i="10"/>
  <c r="AY12" i="10"/>
  <c r="AV12" i="10"/>
  <c r="AU12" i="10"/>
  <c r="AW12" i="10"/>
  <c r="AT12" i="10"/>
  <c r="AQ12" i="10"/>
  <c r="AN12" i="10"/>
  <c r="AK12" i="10"/>
  <c r="AH12" i="10"/>
  <c r="AE12" i="10"/>
  <c r="AB12" i="10"/>
  <c r="Y12" i="10"/>
  <c r="V12" i="10"/>
  <c r="S12" i="10"/>
  <c r="P12" i="10"/>
  <c r="M12" i="10"/>
  <c r="AY11" i="10"/>
  <c r="AX11" i="10"/>
  <c r="AV11" i="10"/>
  <c r="AU11" i="10"/>
  <c r="AW11" i="10"/>
  <c r="AT11" i="10"/>
  <c r="AQ11" i="10"/>
  <c r="AN11" i="10"/>
  <c r="AK11" i="10"/>
  <c r="AH11" i="10"/>
  <c r="AE11" i="10"/>
  <c r="AB11" i="10"/>
  <c r="Y11" i="10"/>
  <c r="V11" i="10"/>
  <c r="S11" i="10"/>
  <c r="P11" i="10"/>
  <c r="M11" i="10"/>
  <c r="AX10" i="10"/>
  <c r="AY10" i="10"/>
  <c r="AW10" i="10"/>
  <c r="AV10" i="10"/>
  <c r="AU10" i="10"/>
  <c r="AT10" i="10"/>
  <c r="AQ10" i="10"/>
  <c r="AN10" i="10"/>
  <c r="AK10" i="10"/>
  <c r="AH10" i="10"/>
  <c r="AE10" i="10"/>
  <c r="AB10" i="10"/>
  <c r="Y10" i="10"/>
  <c r="V10" i="10"/>
  <c r="S10" i="10"/>
  <c r="P10" i="10"/>
  <c r="M10" i="10"/>
  <c r="AX9" i="10"/>
  <c r="AY9" i="10"/>
  <c r="AW9" i="10"/>
  <c r="AV9" i="10"/>
  <c r="AU9" i="10"/>
  <c r="AT9" i="10"/>
  <c r="AQ9" i="10"/>
  <c r="AN9" i="10"/>
  <c r="AK9" i="10"/>
  <c r="AH9" i="10"/>
  <c r="AE9" i="10"/>
  <c r="AB9" i="10"/>
  <c r="Y9" i="10"/>
  <c r="V9" i="10"/>
  <c r="S9" i="10"/>
  <c r="P9" i="10"/>
  <c r="M9" i="10"/>
  <c r="AX8" i="10"/>
  <c r="AY8" i="10"/>
  <c r="AV8" i="10"/>
  <c r="AW8" i="10"/>
  <c r="AU8" i="10"/>
  <c r="AT8" i="10"/>
  <c r="AQ8" i="10"/>
  <c r="AN8" i="10"/>
  <c r="AK8" i="10"/>
  <c r="AH8" i="10"/>
  <c r="AE8" i="10"/>
  <c r="AB8" i="10"/>
  <c r="Y8" i="10"/>
  <c r="V8" i="10"/>
  <c r="S8" i="10"/>
  <c r="P8" i="10"/>
  <c r="M8" i="10"/>
  <c r="AY7" i="10"/>
  <c r="AX7" i="10"/>
  <c r="AV7" i="10"/>
  <c r="AU7" i="10"/>
  <c r="AT7" i="10"/>
  <c r="AQ7" i="10"/>
  <c r="AN7" i="10"/>
  <c r="AK7" i="10"/>
  <c r="AH7" i="10"/>
  <c r="AE7" i="10"/>
  <c r="AB7" i="10"/>
  <c r="Y7" i="10"/>
  <c r="V7" i="10"/>
  <c r="S7" i="10"/>
  <c r="P7" i="10"/>
  <c r="M7" i="10"/>
  <c r="AX6" i="10"/>
  <c r="AY6" i="10"/>
  <c r="AV6" i="10"/>
  <c r="AU6" i="10"/>
  <c r="AW6" i="10"/>
  <c r="AT6" i="10"/>
  <c r="AQ6" i="10"/>
  <c r="AN6" i="10"/>
  <c r="AK6" i="10"/>
  <c r="AH6" i="10"/>
  <c r="AE6" i="10"/>
  <c r="AB6" i="10"/>
  <c r="Y6" i="10"/>
  <c r="V6" i="10"/>
  <c r="S6" i="10"/>
  <c r="P6" i="10"/>
  <c r="M6" i="10"/>
  <c r="AX5" i="10"/>
  <c r="AY5" i="10"/>
  <c r="AW5" i="10"/>
  <c r="AV5" i="10"/>
  <c r="AU5" i="10"/>
  <c r="AT5" i="10"/>
  <c r="AQ5" i="10"/>
  <c r="AN5" i="10"/>
  <c r="AK5" i="10"/>
  <c r="AH5" i="10"/>
  <c r="AE5" i="10"/>
  <c r="AB5" i="10"/>
  <c r="Y5" i="10"/>
  <c r="V5" i="10"/>
  <c r="S5" i="10"/>
  <c r="P5" i="10"/>
  <c r="M5" i="10"/>
  <c r="AY4" i="10"/>
  <c r="AX4" i="10"/>
  <c r="AV4" i="10"/>
  <c r="AU4" i="10"/>
  <c r="AW4" i="10"/>
  <c r="AT4" i="10"/>
  <c r="AQ4" i="10"/>
  <c r="AN4" i="10"/>
  <c r="AK4" i="10"/>
  <c r="AH4" i="10"/>
  <c r="AE4" i="10"/>
  <c r="AB4" i="10"/>
  <c r="Y4" i="10"/>
  <c r="V4" i="10"/>
  <c r="S4" i="10"/>
  <c r="P4" i="10"/>
  <c r="M4" i="10"/>
  <c r="AY3" i="10"/>
  <c r="AX3" i="10"/>
  <c r="AV3" i="10"/>
  <c r="AU3" i="10"/>
  <c r="AT3" i="10"/>
  <c r="AQ3" i="10"/>
  <c r="AN3" i="10"/>
  <c r="AK3" i="10"/>
  <c r="AH3" i="10"/>
  <c r="AE3" i="10"/>
  <c r="AB3" i="10"/>
  <c r="Y3" i="10"/>
  <c r="V3" i="10"/>
  <c r="S3" i="10"/>
  <c r="P3" i="10"/>
  <c r="M3" i="10"/>
  <c r="AX2" i="10"/>
  <c r="AW2" i="10"/>
  <c r="AV2" i="10"/>
  <c r="AU2" i="10"/>
  <c r="AT2" i="10"/>
  <c r="AQ2" i="10"/>
  <c r="AN2" i="10"/>
  <c r="AK2" i="10"/>
  <c r="AH2" i="10"/>
  <c r="AE2" i="10"/>
  <c r="AB2" i="10"/>
  <c r="Y2" i="10"/>
  <c r="V2" i="10"/>
  <c r="S2" i="10"/>
  <c r="P2" i="10"/>
  <c r="M2" i="10"/>
  <c r="F64" i="14"/>
  <c r="G64" i="14"/>
  <c r="E64" i="14"/>
  <c r="D64" i="14"/>
  <c r="C64" i="14"/>
  <c r="B64" i="14"/>
  <c r="F63" i="14"/>
  <c r="E63" i="14"/>
  <c r="G63" i="14"/>
  <c r="D63" i="14"/>
  <c r="C63" i="14"/>
  <c r="B63" i="14"/>
  <c r="F62" i="14"/>
  <c r="G62" i="14"/>
  <c r="E62" i="14"/>
  <c r="D62" i="14"/>
  <c r="C62" i="14"/>
  <c r="B62" i="14"/>
  <c r="F58" i="14"/>
  <c r="E58" i="14"/>
  <c r="D58" i="14"/>
  <c r="C58" i="14"/>
  <c r="B58" i="14"/>
  <c r="F57" i="14"/>
  <c r="E57" i="14"/>
  <c r="G57" i="14"/>
  <c r="D57" i="14"/>
  <c r="C57" i="14"/>
  <c r="B57" i="14"/>
  <c r="F56" i="14"/>
  <c r="G56" i="14"/>
  <c r="E56" i="14"/>
  <c r="D56" i="14"/>
  <c r="C56" i="14"/>
  <c r="B56" i="14"/>
  <c r="G55" i="14"/>
  <c r="F55" i="14"/>
  <c r="E55" i="14"/>
  <c r="D55" i="14"/>
  <c r="C55" i="14"/>
  <c r="B55" i="14"/>
  <c r="F54" i="14"/>
  <c r="E54" i="14"/>
  <c r="D54" i="14"/>
  <c r="C54" i="14"/>
  <c r="B54" i="14"/>
  <c r="G53" i="14"/>
  <c r="F53" i="14"/>
  <c r="E53" i="14"/>
  <c r="D53" i="14"/>
  <c r="C53" i="14"/>
  <c r="B53" i="14"/>
  <c r="F52" i="14"/>
  <c r="G52" i="14"/>
  <c r="E52" i="14"/>
  <c r="D52" i="14"/>
  <c r="C52" i="14"/>
  <c r="B52" i="14"/>
  <c r="F51" i="14"/>
  <c r="E51" i="14"/>
  <c r="G51" i="14"/>
  <c r="D51" i="14"/>
  <c r="C51" i="14"/>
  <c r="B51" i="14"/>
  <c r="F50" i="14"/>
  <c r="E50" i="14"/>
  <c r="D50" i="14"/>
  <c r="C50" i="14"/>
  <c r="C59" i="14"/>
  <c r="B50" i="14"/>
  <c r="G49" i="14"/>
  <c r="F49" i="14"/>
  <c r="E49" i="14"/>
  <c r="D49" i="14"/>
  <c r="C49" i="14"/>
  <c r="B49" i="14"/>
  <c r="F48" i="14"/>
  <c r="G48" i="14"/>
  <c r="E48" i="14"/>
  <c r="E59" i="14"/>
  <c r="D48" i="14"/>
  <c r="C48" i="14"/>
  <c r="B48" i="14"/>
  <c r="G47" i="14"/>
  <c r="F47" i="14"/>
  <c r="F59" i="14"/>
  <c r="G59" i="14"/>
  <c r="E47" i="14"/>
  <c r="D47" i="14"/>
  <c r="D59" i="14"/>
  <c r="C47" i="14"/>
  <c r="B47" i="14"/>
  <c r="F43" i="14"/>
  <c r="E43" i="14"/>
  <c r="D43" i="14"/>
  <c r="C43" i="14"/>
  <c r="B43" i="14"/>
  <c r="F29" i="14"/>
  <c r="E29" i="14"/>
  <c r="G29" i="14"/>
  <c r="D29" i="14"/>
  <c r="C29" i="14"/>
  <c r="B29" i="14"/>
  <c r="G28" i="14"/>
  <c r="G27" i="14"/>
  <c r="G26" i="14"/>
  <c r="G25" i="14"/>
  <c r="G23" i="14"/>
  <c r="G22" i="14"/>
  <c r="G21" i="14"/>
  <c r="G19" i="14"/>
  <c r="G18" i="14"/>
  <c r="G17" i="14"/>
  <c r="C12" i="18"/>
  <c r="C18" i="2"/>
  <c r="D17" i="2"/>
  <c r="G17" i="2"/>
  <c r="C17" i="2"/>
  <c r="C16" i="2"/>
  <c r="D16" i="2"/>
  <c r="J16" i="2"/>
  <c r="J15" i="2"/>
  <c r="P15" i="2"/>
  <c r="V15" i="2"/>
  <c r="AB15" i="2"/>
  <c r="AH15" i="2"/>
  <c r="AN15" i="2"/>
  <c r="AT15" i="2"/>
  <c r="AZ15" i="2"/>
  <c r="BF15" i="2"/>
  <c r="BL15" i="2"/>
  <c r="BR15" i="2"/>
  <c r="G15" i="2"/>
  <c r="M15" i="2"/>
  <c r="F15" i="2"/>
  <c r="C15" i="2"/>
  <c r="D15" i="2"/>
  <c r="C12" i="2"/>
  <c r="D12" i="2"/>
  <c r="BS11" i="2"/>
  <c r="D11" i="2"/>
  <c r="BS10" i="2"/>
  <c r="BM10" i="2"/>
  <c r="BG10" i="2"/>
  <c r="BA10" i="2"/>
  <c r="AU10" i="2"/>
  <c r="AO10" i="2"/>
  <c r="AI10" i="2"/>
  <c r="AC10" i="2"/>
  <c r="W10" i="2"/>
  <c r="Q10" i="2"/>
  <c r="K10" i="2"/>
  <c r="E10" i="2"/>
  <c r="D10" i="2"/>
  <c r="BS9" i="2"/>
  <c r="BM9" i="2"/>
  <c r="BG9" i="2"/>
  <c r="BA9" i="2"/>
  <c r="AU9" i="2"/>
  <c r="AO9" i="2"/>
  <c r="AI9" i="2"/>
  <c r="AC9" i="2"/>
  <c r="W9" i="2"/>
  <c r="Q9" i="2"/>
  <c r="K9" i="2"/>
  <c r="E9" i="2"/>
  <c r="D9" i="2"/>
  <c r="BS8" i="2"/>
  <c r="BM8" i="2"/>
  <c r="BG8" i="2"/>
  <c r="BA8" i="2"/>
  <c r="AU8" i="2"/>
  <c r="AO8" i="2"/>
  <c r="AI8" i="2"/>
  <c r="AC8" i="2"/>
  <c r="W8" i="2"/>
  <c r="Q8" i="2"/>
  <c r="K8" i="2"/>
  <c r="E8" i="2"/>
  <c r="H8" i="2"/>
  <c r="D8" i="2"/>
  <c r="BS7" i="2"/>
  <c r="BM7" i="2"/>
  <c r="BG7" i="2"/>
  <c r="BA7" i="2"/>
  <c r="AU7" i="2"/>
  <c r="AO7" i="2"/>
  <c r="AI7" i="2"/>
  <c r="AC7" i="2"/>
  <c r="W7" i="2"/>
  <c r="Q7" i="2"/>
  <c r="K7" i="2"/>
  <c r="N7" i="2"/>
  <c r="E7" i="2"/>
  <c r="H7" i="2"/>
  <c r="D7" i="2"/>
  <c r="J7" i="2"/>
  <c r="P7" i="2"/>
  <c r="V7" i="2"/>
  <c r="AB7" i="2"/>
  <c r="AH7" i="2"/>
  <c r="AN7" i="2"/>
  <c r="AT7" i="2"/>
  <c r="AZ7" i="2"/>
  <c r="BF7" i="2"/>
  <c r="BL7" i="2"/>
  <c r="BR7" i="2"/>
  <c r="BS6" i="2"/>
  <c r="BM6" i="2"/>
  <c r="BG6" i="2"/>
  <c r="BA6" i="2"/>
  <c r="AU6" i="2"/>
  <c r="AO6" i="2"/>
  <c r="AI6" i="2"/>
  <c r="AC6" i="2"/>
  <c r="W6" i="2"/>
  <c r="Q6" i="2"/>
  <c r="K6" i="2"/>
  <c r="E6" i="2"/>
  <c r="H6" i="2"/>
  <c r="D6" i="2"/>
  <c r="J6" i="2"/>
  <c r="P6" i="2"/>
  <c r="V6" i="2"/>
  <c r="AB6" i="2"/>
  <c r="AH6" i="2"/>
  <c r="AN6" i="2"/>
  <c r="AT6" i="2"/>
  <c r="AZ6" i="2"/>
  <c r="BF6" i="2"/>
  <c r="BL6" i="2"/>
  <c r="BR6" i="2"/>
  <c r="BS5" i="2"/>
  <c r="BM5" i="2"/>
  <c r="BG5" i="2"/>
  <c r="BA5" i="2"/>
  <c r="AU5" i="2"/>
  <c r="AO5" i="2"/>
  <c r="AI5" i="2"/>
  <c r="AC5" i="2"/>
  <c r="W5" i="2"/>
  <c r="Q5" i="2"/>
  <c r="K5" i="2"/>
  <c r="E5" i="2"/>
  <c r="H5" i="2"/>
  <c r="D5" i="2"/>
  <c r="J5" i="2"/>
  <c r="P5" i="2"/>
  <c r="V5" i="2"/>
  <c r="AB5" i="2"/>
  <c r="AH5" i="2"/>
  <c r="AN5" i="2"/>
  <c r="AT5" i="2"/>
  <c r="AZ5" i="2"/>
  <c r="BF5" i="2"/>
  <c r="BL5" i="2"/>
  <c r="BR5" i="2"/>
  <c r="BS4" i="2"/>
  <c r="BM4" i="2"/>
  <c r="BG4" i="2"/>
  <c r="BA4" i="2"/>
  <c r="AU4" i="2"/>
  <c r="AO4" i="2"/>
  <c r="AI4" i="2"/>
  <c r="AC4" i="2"/>
  <c r="W4" i="2"/>
  <c r="Q4" i="2"/>
  <c r="K4" i="2"/>
  <c r="E4" i="2"/>
  <c r="H4" i="2"/>
  <c r="D4" i="2"/>
  <c r="C46" i="2"/>
  <c r="BS3" i="2"/>
  <c r="BS17" i="2"/>
  <c r="BM3" i="2"/>
  <c r="BM17" i="2"/>
  <c r="BG3" i="2"/>
  <c r="BG17" i="2"/>
  <c r="BA3" i="2"/>
  <c r="AU3" i="2"/>
  <c r="AU17" i="2"/>
  <c r="AO3" i="2"/>
  <c r="AI3" i="2"/>
  <c r="AI17" i="2"/>
  <c r="AC3" i="2"/>
  <c r="AC17" i="2"/>
  <c r="W3" i="2"/>
  <c r="W17" i="2"/>
  <c r="Q3" i="2"/>
  <c r="K3" i="2"/>
  <c r="K17" i="2"/>
  <c r="E3" i="2"/>
  <c r="H3" i="2"/>
  <c r="D3" i="2"/>
  <c r="J3" i="2"/>
  <c r="P3" i="2"/>
  <c r="V3" i="2"/>
  <c r="AB3" i="2"/>
  <c r="AH3" i="2"/>
  <c r="AN3" i="2"/>
  <c r="AT3" i="2"/>
  <c r="AZ3" i="2"/>
  <c r="BF3" i="2"/>
  <c r="BL3" i="2"/>
  <c r="BR3" i="2"/>
  <c r="BS2" i="2"/>
  <c r="BS15" i="2"/>
  <c r="BM2" i="2"/>
  <c r="BM15" i="2"/>
  <c r="BG2" i="2"/>
  <c r="BG15" i="2"/>
  <c r="BA2" i="2"/>
  <c r="BA15" i="2"/>
  <c r="AU2" i="2"/>
  <c r="AU15" i="2"/>
  <c r="AO2" i="2"/>
  <c r="AI2" i="2"/>
  <c r="AI15" i="2"/>
  <c r="AC2" i="2"/>
  <c r="AC15" i="2"/>
  <c r="W2" i="2"/>
  <c r="Q2" i="2"/>
  <c r="Q15" i="2"/>
  <c r="K2" i="2"/>
  <c r="K15" i="2"/>
  <c r="E2" i="2"/>
  <c r="E15" i="2"/>
  <c r="D2" i="2"/>
  <c r="J2" i="2"/>
  <c r="P2" i="2"/>
  <c r="V2" i="2"/>
  <c r="AB2" i="2"/>
  <c r="AH2" i="2"/>
  <c r="AN2" i="2"/>
  <c r="AT2" i="2"/>
  <c r="AZ2" i="2"/>
  <c r="BF2" i="2"/>
  <c r="BL2" i="2"/>
  <c r="BR2" i="2"/>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AG29" i="6"/>
  <c r="AX23" i="6"/>
  <c r="AY23" i="6"/>
  <c r="AV23" i="6"/>
  <c r="AU23" i="6"/>
  <c r="AW23" i="6"/>
  <c r="AT23" i="6"/>
  <c r="AQ23" i="6"/>
  <c r="AN23" i="6"/>
  <c r="AK23" i="6"/>
  <c r="AH23" i="6"/>
  <c r="AE23" i="6"/>
  <c r="AB23" i="6"/>
  <c r="Y23" i="6"/>
  <c r="V23" i="6"/>
  <c r="S23" i="6"/>
  <c r="P23" i="6"/>
  <c r="M23" i="6"/>
  <c r="AX22" i="6"/>
  <c r="AY22" i="6"/>
  <c r="AV22" i="6"/>
  <c r="AU22" i="6"/>
  <c r="AT22" i="6"/>
  <c r="AQ22" i="6"/>
  <c r="AN22" i="6"/>
  <c r="AK22" i="6"/>
  <c r="AH22" i="6"/>
  <c r="AE22" i="6"/>
  <c r="AB22" i="6"/>
  <c r="Y22" i="6"/>
  <c r="V22" i="6"/>
  <c r="S22" i="6"/>
  <c r="P22" i="6"/>
  <c r="M22" i="6"/>
  <c r="AX21" i="6"/>
  <c r="AY21" i="6"/>
  <c r="AV21" i="6"/>
  <c r="AU21" i="6"/>
  <c r="AW21" i="6"/>
  <c r="AT21" i="6"/>
  <c r="AQ21" i="6"/>
  <c r="AN21" i="6"/>
  <c r="AK21" i="6"/>
  <c r="AH21" i="6"/>
  <c r="AE21" i="6"/>
  <c r="AB21" i="6"/>
  <c r="Y21" i="6"/>
  <c r="V21" i="6"/>
  <c r="S21" i="6"/>
  <c r="P21" i="6"/>
  <c r="M21" i="6"/>
  <c r="AX20" i="6"/>
  <c r="AY20" i="6"/>
  <c r="AV20" i="6"/>
  <c r="AU20" i="6"/>
  <c r="AT20" i="6"/>
  <c r="AQ20" i="6"/>
  <c r="AN20" i="6"/>
  <c r="AK20" i="6"/>
  <c r="AH20" i="6"/>
  <c r="AE20" i="6"/>
  <c r="AB20" i="6"/>
  <c r="Y20" i="6"/>
  <c r="V20" i="6"/>
  <c r="S20" i="6"/>
  <c r="P20" i="6"/>
  <c r="M20" i="6"/>
  <c r="AX19" i="6"/>
  <c r="AY19" i="6"/>
  <c r="AW19" i="6"/>
  <c r="AV19" i="6"/>
  <c r="AU19" i="6"/>
  <c r="AT19" i="6"/>
  <c r="AQ19" i="6"/>
  <c r="AN19" i="6"/>
  <c r="AK19" i="6"/>
  <c r="AH19" i="6"/>
  <c r="AE19" i="6"/>
  <c r="AB19" i="6"/>
  <c r="Y19" i="6"/>
  <c r="V19" i="6"/>
  <c r="S19" i="6"/>
  <c r="P19" i="6"/>
  <c r="M19" i="6"/>
  <c r="AX18" i="6"/>
  <c r="AY18" i="6"/>
  <c r="AV18" i="6"/>
  <c r="AU18" i="6"/>
  <c r="AW18" i="6"/>
  <c r="AT18" i="6"/>
  <c r="AQ18" i="6"/>
  <c r="AN18" i="6"/>
  <c r="AK18" i="6"/>
  <c r="AH18" i="6"/>
  <c r="AE18" i="6"/>
  <c r="AB18" i="6"/>
  <c r="Y18" i="6"/>
  <c r="V18" i="6"/>
  <c r="S18" i="6"/>
  <c r="P18" i="6"/>
  <c r="M18" i="6"/>
  <c r="AX17" i="6"/>
  <c r="AY17" i="6"/>
  <c r="AV17" i="6"/>
  <c r="AU17" i="6"/>
  <c r="AW17" i="6"/>
  <c r="AT17" i="6"/>
  <c r="AQ17" i="6"/>
  <c r="AN17" i="6"/>
  <c r="AK17" i="6"/>
  <c r="AH17" i="6"/>
  <c r="AE17" i="6"/>
  <c r="AB17" i="6"/>
  <c r="Y17" i="6"/>
  <c r="V17" i="6"/>
  <c r="S17" i="6"/>
  <c r="P17" i="6"/>
  <c r="M17" i="6"/>
  <c r="AX16" i="6"/>
  <c r="AY16" i="6"/>
  <c r="AV16" i="6"/>
  <c r="AU16" i="6"/>
  <c r="AW16" i="6"/>
  <c r="AT16" i="6"/>
  <c r="AQ16" i="6"/>
  <c r="AN16" i="6"/>
  <c r="AK16" i="6"/>
  <c r="AH16" i="6"/>
  <c r="AE16" i="6"/>
  <c r="AB16" i="6"/>
  <c r="Y16" i="6"/>
  <c r="V16" i="6"/>
  <c r="S16" i="6"/>
  <c r="P16" i="6"/>
  <c r="M16" i="6"/>
  <c r="AY15" i="6"/>
  <c r="AX15" i="6"/>
  <c r="AV15" i="6"/>
  <c r="AU15" i="6"/>
  <c r="AT15" i="6"/>
  <c r="AQ15" i="6"/>
  <c r="AN15" i="6"/>
  <c r="AK15" i="6"/>
  <c r="AH15" i="6"/>
  <c r="AE15" i="6"/>
  <c r="AB15" i="6"/>
  <c r="Y15" i="6"/>
  <c r="V15" i="6"/>
  <c r="S15" i="6"/>
  <c r="P15" i="6"/>
  <c r="M15" i="6"/>
  <c r="AX14" i="6"/>
  <c r="AY14" i="6"/>
  <c r="AV14" i="6"/>
  <c r="AU14" i="6"/>
  <c r="AW14" i="6"/>
  <c r="AT14" i="6"/>
  <c r="AQ14" i="6"/>
  <c r="AN14" i="6"/>
  <c r="AK14" i="6"/>
  <c r="AH14" i="6"/>
  <c r="AE14" i="6"/>
  <c r="AB14" i="6"/>
  <c r="Y14" i="6"/>
  <c r="V14" i="6"/>
  <c r="S14" i="6"/>
  <c r="P14" i="6"/>
  <c r="M14" i="6"/>
  <c r="AX13" i="6"/>
  <c r="AY13" i="6"/>
  <c r="AW13" i="6"/>
  <c r="AV13" i="6"/>
  <c r="AU13" i="6"/>
  <c r="AT13" i="6"/>
  <c r="AQ13" i="6"/>
  <c r="AN13" i="6"/>
  <c r="AK13" i="6"/>
  <c r="AH13" i="6"/>
  <c r="AE13" i="6"/>
  <c r="AB13" i="6"/>
  <c r="Y13" i="6"/>
  <c r="V13" i="6"/>
  <c r="S13" i="6"/>
  <c r="P13" i="6"/>
  <c r="M13" i="6"/>
  <c r="AX12" i="6"/>
  <c r="AY12" i="6"/>
  <c r="AV12" i="6"/>
  <c r="AW12" i="6"/>
  <c r="AU12" i="6"/>
  <c r="AT12" i="6"/>
  <c r="AQ12" i="6"/>
  <c r="AN12" i="6"/>
  <c r="AK12" i="6"/>
  <c r="AH12" i="6"/>
  <c r="AE12" i="6"/>
  <c r="AB12" i="6"/>
  <c r="Y12" i="6"/>
  <c r="V12" i="6"/>
  <c r="S12" i="6"/>
  <c r="P12" i="6"/>
  <c r="M12" i="6"/>
  <c r="AY11" i="6"/>
  <c r="AX11" i="6"/>
  <c r="AV11" i="6"/>
  <c r="AU11" i="6"/>
  <c r="AW11" i="6"/>
  <c r="AT11" i="6"/>
  <c r="AQ11" i="6"/>
  <c r="AN11" i="6"/>
  <c r="AK11" i="6"/>
  <c r="AH11" i="6"/>
  <c r="AE11" i="6"/>
  <c r="AB11" i="6"/>
  <c r="Y11" i="6"/>
  <c r="V11" i="6"/>
  <c r="S11" i="6"/>
  <c r="P11" i="6"/>
  <c r="M11" i="6"/>
  <c r="AX10" i="6"/>
  <c r="AY10" i="6"/>
  <c r="AV10" i="6"/>
  <c r="AU10" i="6"/>
  <c r="AT10" i="6"/>
  <c r="AQ10" i="6"/>
  <c r="AN10" i="6"/>
  <c r="AK10" i="6"/>
  <c r="AH10" i="6"/>
  <c r="AE10" i="6"/>
  <c r="AB10" i="6"/>
  <c r="Y10" i="6"/>
  <c r="V10" i="6"/>
  <c r="S10" i="6"/>
  <c r="P10" i="6"/>
  <c r="M10" i="6"/>
  <c r="AX9" i="6"/>
  <c r="AY9" i="6"/>
  <c r="AV9" i="6"/>
  <c r="AU9" i="6"/>
  <c r="AX4" i="6"/>
  <c r="AY4" i="6"/>
  <c r="AV4" i="6"/>
  <c r="AU4" i="6"/>
  <c r="AT4" i="6"/>
  <c r="AQ4" i="6"/>
  <c r="AN4" i="6"/>
  <c r="AK4" i="6"/>
  <c r="AH4" i="6"/>
  <c r="AE4" i="6"/>
  <c r="AB4" i="6"/>
  <c r="Y4" i="6"/>
  <c r="V4" i="6"/>
  <c r="S4" i="6"/>
  <c r="P4" i="6"/>
  <c r="M4" i="6"/>
  <c r="AX3" i="6"/>
  <c r="AY3" i="6"/>
  <c r="AV3" i="6"/>
  <c r="AU3" i="6"/>
  <c r="AT3" i="6"/>
  <c r="AT24" i="6"/>
  <c r="AQ3" i="6"/>
  <c r="AQ24" i="6"/>
  <c r="AN3" i="6"/>
  <c r="AN24" i="6"/>
  <c r="AK3" i="6"/>
  <c r="AK24" i="6"/>
  <c r="AH3" i="6"/>
  <c r="AH24" i="6"/>
  <c r="AE3" i="6"/>
  <c r="AE24" i="6"/>
  <c r="AB3" i="6"/>
  <c r="AB24" i="6"/>
  <c r="Y3" i="6"/>
  <c r="Y24" i="6"/>
  <c r="V3" i="6"/>
  <c r="V24" i="6"/>
  <c r="S3" i="6"/>
  <c r="S24" i="6"/>
  <c r="P3" i="6"/>
  <c r="M3" i="6"/>
  <c r="M24" i="6"/>
  <c r="P24" i="6"/>
  <c r="AW4" i="6"/>
  <c r="AW3" i="6"/>
  <c r="AW24" i="6"/>
  <c r="AV15" i="2"/>
  <c r="T7" i="2"/>
  <c r="N8" i="2"/>
  <c r="AJ17" i="2"/>
  <c r="BH15" i="2"/>
  <c r="O7" i="2"/>
  <c r="BT15" i="2"/>
  <c r="L15" i="2"/>
  <c r="H17" i="2"/>
  <c r="I17" i="2"/>
  <c r="I4" i="2"/>
  <c r="P16" i="2"/>
  <c r="V16" i="2"/>
  <c r="AB16" i="2"/>
  <c r="AH16" i="2"/>
  <c r="AN16" i="2"/>
  <c r="AT16" i="2"/>
  <c r="AZ16" i="2"/>
  <c r="BF16" i="2"/>
  <c r="BL16" i="2"/>
  <c r="BR16" i="2"/>
  <c r="N4" i="2"/>
  <c r="I5" i="2"/>
  <c r="N5" i="2"/>
  <c r="O5" i="2"/>
  <c r="AJ15" i="2"/>
  <c r="N6" i="2"/>
  <c r="AW20" i="6"/>
  <c r="L2" i="2"/>
  <c r="X2" i="2"/>
  <c r="AJ2" i="2"/>
  <c r="AV2" i="2"/>
  <c r="BH2" i="2"/>
  <c r="BT2" i="2"/>
  <c r="L3" i="2"/>
  <c r="X3" i="2"/>
  <c r="AJ3" i="2"/>
  <c r="AV3" i="2"/>
  <c r="BH3" i="2"/>
  <c r="BT3" i="2"/>
  <c r="BH4" i="2"/>
  <c r="L5" i="2"/>
  <c r="X5" i="2"/>
  <c r="AJ5" i="2"/>
  <c r="AV5" i="2"/>
  <c r="BH5" i="2"/>
  <c r="BT5" i="2"/>
  <c r="L6" i="2"/>
  <c r="X6" i="2"/>
  <c r="AJ6" i="2"/>
  <c r="AV6" i="2"/>
  <c r="BH6" i="2"/>
  <c r="BT6" i="2"/>
  <c r="L7" i="2"/>
  <c r="X7" i="2"/>
  <c r="AJ7" i="2"/>
  <c r="AV7" i="2"/>
  <c r="BH7" i="2"/>
  <c r="BT7" i="2"/>
  <c r="G9" i="2"/>
  <c r="X9" i="2"/>
  <c r="G10" i="2"/>
  <c r="C52" i="2"/>
  <c r="C53" i="2"/>
  <c r="M11" i="2"/>
  <c r="J11" i="2"/>
  <c r="P11" i="2"/>
  <c r="V11" i="2"/>
  <c r="AB11" i="2"/>
  <c r="AH11" i="2"/>
  <c r="AN11" i="2"/>
  <c r="AT11" i="2"/>
  <c r="AZ11" i="2"/>
  <c r="BF11" i="2"/>
  <c r="BL11" i="2"/>
  <c r="BR11" i="2"/>
  <c r="G16" i="2"/>
  <c r="M16" i="2"/>
  <c r="G58" i="14"/>
  <c r="AX24" i="10"/>
  <c r="AY24" i="10"/>
  <c r="AY2" i="10"/>
  <c r="W15" i="2"/>
  <c r="H9" i="2"/>
  <c r="F9" i="2"/>
  <c r="H10" i="2"/>
  <c r="F10" i="2"/>
  <c r="G11" i="2"/>
  <c r="AU24" i="10"/>
  <c r="AY24" i="13"/>
  <c r="N3" i="2"/>
  <c r="O3" i="2"/>
  <c r="S11" i="2"/>
  <c r="Y11" i="2"/>
  <c r="AE11" i="2"/>
  <c r="AK11" i="2"/>
  <c r="AQ11" i="2"/>
  <c r="AW11" i="2"/>
  <c r="BC11" i="2"/>
  <c r="BI11" i="2"/>
  <c r="BO11" i="2"/>
  <c r="BU11" i="2"/>
  <c r="Q17" i="2"/>
  <c r="BA17" i="2"/>
  <c r="C44" i="2"/>
  <c r="G54" i="14"/>
  <c r="J9" i="2"/>
  <c r="P9" i="2"/>
  <c r="V9" i="2"/>
  <c r="AB9" i="2"/>
  <c r="AH9" i="2"/>
  <c r="AN9" i="2"/>
  <c r="AT9" i="2"/>
  <c r="AZ9" i="2"/>
  <c r="BF9" i="2"/>
  <c r="BL9" i="2"/>
  <c r="BR9" i="2"/>
  <c r="J10" i="2"/>
  <c r="P10" i="2"/>
  <c r="V10" i="2"/>
  <c r="AB10" i="2"/>
  <c r="AH10" i="2"/>
  <c r="AN10" i="2"/>
  <c r="AT10" i="2"/>
  <c r="AZ10" i="2"/>
  <c r="BF10" i="2"/>
  <c r="BL10" i="2"/>
  <c r="BR10" i="2"/>
  <c r="BS16" i="2"/>
  <c r="BT16" i="2"/>
  <c r="AD15" i="2"/>
  <c r="BN15" i="2"/>
  <c r="C45" i="2"/>
  <c r="AW3" i="10"/>
  <c r="AW2" i="9"/>
  <c r="AU24" i="9"/>
  <c r="AW24" i="9"/>
  <c r="AW15" i="6"/>
  <c r="L9" i="2"/>
  <c r="AV9" i="2"/>
  <c r="L10" i="2"/>
  <c r="C47" i="2"/>
  <c r="G50" i="14"/>
  <c r="T8" i="2"/>
  <c r="M9" i="2"/>
  <c r="S9" i="2"/>
  <c r="Y9" i="2"/>
  <c r="AE9" i="2"/>
  <c r="AK9" i="2"/>
  <c r="AQ9" i="2"/>
  <c r="AW9" i="2"/>
  <c r="BC9" i="2"/>
  <c r="BI9" i="2"/>
  <c r="BO9" i="2"/>
  <c r="BU9" i="2"/>
  <c r="AD9" i="2"/>
  <c r="BN9" i="2"/>
  <c r="M10" i="2"/>
  <c r="S10" i="2"/>
  <c r="Y10" i="2"/>
  <c r="AE10" i="2"/>
  <c r="AK10" i="2"/>
  <c r="AQ10" i="2"/>
  <c r="AW10" i="2"/>
  <c r="BC10" i="2"/>
  <c r="BI10" i="2"/>
  <c r="BO10" i="2"/>
  <c r="BU10" i="2"/>
  <c r="J12" i="2"/>
  <c r="P12" i="2"/>
  <c r="V12" i="2"/>
  <c r="AB12" i="2"/>
  <c r="AH12" i="2"/>
  <c r="AN12" i="2"/>
  <c r="AT12" i="2"/>
  <c r="AZ12" i="2"/>
  <c r="BF12" i="2"/>
  <c r="BL12" i="2"/>
  <c r="BR12" i="2"/>
  <c r="G12" i="2"/>
  <c r="C22" i="2"/>
  <c r="C48" i="2"/>
  <c r="AO15" i="2"/>
  <c r="AW22" i="6"/>
  <c r="F2" i="2"/>
  <c r="R2" i="2"/>
  <c r="AD2" i="2"/>
  <c r="AP2" i="2"/>
  <c r="BB2" i="2"/>
  <c r="BN2" i="2"/>
  <c r="F3" i="2"/>
  <c r="R3" i="2"/>
  <c r="AD3" i="2"/>
  <c r="AP3" i="2"/>
  <c r="BB3" i="2"/>
  <c r="BN3" i="2"/>
  <c r="F4" i="2"/>
  <c r="F5" i="2"/>
  <c r="R5" i="2"/>
  <c r="AD5" i="2"/>
  <c r="AP5" i="2"/>
  <c r="BB5" i="2"/>
  <c r="BN5" i="2"/>
  <c r="F6" i="2"/>
  <c r="R6" i="2"/>
  <c r="AD6" i="2"/>
  <c r="AP6" i="2"/>
  <c r="BB6" i="2"/>
  <c r="BN6" i="2"/>
  <c r="F7" i="2"/>
  <c r="R7" i="2"/>
  <c r="AD7" i="2"/>
  <c r="AP7" i="2"/>
  <c r="BB7" i="2"/>
  <c r="BN7" i="2"/>
  <c r="F8" i="2"/>
  <c r="N9" i="2"/>
  <c r="N10" i="2"/>
  <c r="O10" i="2"/>
  <c r="M12" i="2"/>
  <c r="D22" i="2"/>
  <c r="E17" i="2"/>
  <c r="F17" i="2"/>
  <c r="AO17" i="2"/>
  <c r="C49" i="2"/>
  <c r="G43" i="14"/>
  <c r="AW7" i="10"/>
  <c r="AW7" i="13"/>
  <c r="G2" i="2"/>
  <c r="M2" i="2"/>
  <c r="S2" i="2"/>
  <c r="G3" i="2"/>
  <c r="M3" i="2"/>
  <c r="M17" i="2"/>
  <c r="S3" i="2"/>
  <c r="G4" i="2"/>
  <c r="M4" i="2"/>
  <c r="S4" i="2"/>
  <c r="G5" i="2"/>
  <c r="M5" i="2"/>
  <c r="S5" i="2"/>
  <c r="Y5" i="2"/>
  <c r="AE5" i="2"/>
  <c r="AK5" i="2"/>
  <c r="AQ5" i="2"/>
  <c r="AW5" i="2"/>
  <c r="BC5" i="2"/>
  <c r="BI5" i="2"/>
  <c r="BO5" i="2"/>
  <c r="BU5" i="2"/>
  <c r="G6" i="2"/>
  <c r="M6" i="2"/>
  <c r="S6" i="2"/>
  <c r="Y6" i="2"/>
  <c r="AE6" i="2"/>
  <c r="AK6" i="2"/>
  <c r="AQ6" i="2"/>
  <c r="AW6" i="2"/>
  <c r="BC6" i="2"/>
  <c r="BI6" i="2"/>
  <c r="BO6" i="2"/>
  <c r="BU6" i="2"/>
  <c r="G7" i="2"/>
  <c r="M7" i="2"/>
  <c r="S7" i="2"/>
  <c r="Y7" i="2"/>
  <c r="AE7" i="2"/>
  <c r="AK7" i="2"/>
  <c r="AQ7" i="2"/>
  <c r="AW7" i="2"/>
  <c r="BC7" i="2"/>
  <c r="BI7" i="2"/>
  <c r="BO7" i="2"/>
  <c r="BU7" i="2"/>
  <c r="G8" i="2"/>
  <c r="M8" i="2"/>
  <c r="S8" i="2"/>
  <c r="Y8" i="2"/>
  <c r="AE8" i="2"/>
  <c r="AK8" i="2"/>
  <c r="AQ8" i="2"/>
  <c r="AW8" i="2"/>
  <c r="BC8" i="2"/>
  <c r="BI8" i="2"/>
  <c r="BO8" i="2"/>
  <c r="BU8" i="2"/>
  <c r="R15" i="2"/>
  <c r="BB15" i="2"/>
  <c r="C50" i="2"/>
  <c r="B59" i="14"/>
  <c r="AW19" i="10"/>
  <c r="AW9" i="9"/>
  <c r="AU24" i="7"/>
  <c r="AW24" i="7"/>
  <c r="AE24" i="12"/>
  <c r="AX24" i="1"/>
  <c r="AY24" i="1"/>
  <c r="H2" i="2"/>
  <c r="AJ9" i="2"/>
  <c r="BT9" i="2"/>
  <c r="AJ10" i="2"/>
  <c r="BT10" i="2"/>
  <c r="C51" i="2"/>
  <c r="AW17" i="8"/>
  <c r="AV24" i="7"/>
  <c r="T9" i="2"/>
  <c r="Z9" i="2"/>
  <c r="R9" i="2"/>
  <c r="BB9" i="2"/>
  <c r="T10" i="2"/>
  <c r="R10" i="2"/>
  <c r="AX24" i="7"/>
  <c r="AY24" i="7"/>
  <c r="AW24" i="1"/>
  <c r="AW24" i="11"/>
  <c r="AW10" i="6"/>
  <c r="J4" i="2"/>
  <c r="P4" i="2"/>
  <c r="V4" i="2"/>
  <c r="AB4" i="2"/>
  <c r="AH4" i="2"/>
  <c r="AN4" i="2"/>
  <c r="AT4" i="2"/>
  <c r="AZ4" i="2"/>
  <c r="BF4" i="2"/>
  <c r="BL4" i="2"/>
  <c r="BR4" i="2"/>
  <c r="BT4" i="2"/>
  <c r="J8" i="2"/>
  <c r="P8" i="2"/>
  <c r="V8" i="2"/>
  <c r="AB8" i="2"/>
  <c r="J17" i="2"/>
  <c r="P17" i="2"/>
  <c r="V17" i="2"/>
  <c r="AB17" i="2"/>
  <c r="AH17" i="2"/>
  <c r="AN17" i="2"/>
  <c r="AT17" i="2"/>
  <c r="AZ17" i="2"/>
  <c r="BF17" i="2"/>
  <c r="BL17" i="2"/>
  <c r="BR17" i="2"/>
  <c r="BT17" i="2"/>
  <c r="AV24" i="10"/>
  <c r="AU24" i="8"/>
  <c r="AW24" i="8"/>
  <c r="AU24" i="5"/>
  <c r="AW24" i="5"/>
  <c r="AU24" i="12"/>
  <c r="AW24" i="12"/>
  <c r="AU24" i="13"/>
  <c r="AW24" i="13"/>
  <c r="AV24" i="1"/>
  <c r="AV24" i="11"/>
  <c r="AY2" i="13"/>
  <c r="BM16" i="2"/>
  <c r="BN16" i="2"/>
  <c r="AC16" i="2"/>
  <c r="AD16" i="2"/>
  <c r="AY2" i="9"/>
  <c r="AW2" i="11"/>
  <c r="W16" i="2"/>
  <c r="X16" i="2"/>
  <c r="AW2" i="5"/>
  <c r="BA16" i="2"/>
  <c r="BB16" i="2"/>
  <c r="Q16" i="2"/>
  <c r="R16" i="2"/>
  <c r="AY2" i="5"/>
  <c r="AW2" i="7"/>
  <c r="AW2" i="1"/>
  <c r="AU16" i="2"/>
  <c r="AV16" i="2"/>
  <c r="AW2" i="8"/>
  <c r="AO16" i="2"/>
  <c r="AP16" i="2"/>
  <c r="AV24" i="6"/>
  <c r="AW9" i="6"/>
  <c r="AU24" i="6"/>
  <c r="AX24" i="6"/>
  <c r="E11" i="2"/>
  <c r="E16" i="2"/>
  <c r="F16" i="2"/>
  <c r="BG11" i="2"/>
  <c r="BH11" i="2"/>
  <c r="AI11" i="2"/>
  <c r="AI16" i="2"/>
  <c r="AJ16" i="2"/>
  <c r="K11" i="2"/>
  <c r="K12" i="2"/>
  <c r="W12" i="2"/>
  <c r="X12" i="2"/>
  <c r="R11" i="2"/>
  <c r="X11" i="2"/>
  <c r="BN11" i="2"/>
  <c r="BT11" i="2"/>
  <c r="AD11" i="2"/>
  <c r="Q12" i="2"/>
  <c r="R12" i="2"/>
  <c r="AP11" i="2"/>
  <c r="AV11" i="2"/>
  <c r="BB11" i="2"/>
  <c r="AC12" i="2"/>
  <c r="AU12" i="2"/>
  <c r="AO12" i="2"/>
  <c r="AP12" i="2"/>
  <c r="AY24" i="6"/>
  <c r="BA12" i="2"/>
  <c r="BM12" i="2"/>
  <c r="BN12" i="2"/>
  <c r="BS12" i="2"/>
  <c r="BT12" i="2"/>
  <c r="S16" i="2"/>
  <c r="Y4" i="2"/>
  <c r="AA9" i="2"/>
  <c r="AF9" i="2"/>
  <c r="S15" i="2"/>
  <c r="Y2" i="2"/>
  <c r="X15" i="2"/>
  <c r="AP10" i="2"/>
  <c r="AV4" i="2"/>
  <c r="AH8" i="2"/>
  <c r="AD8" i="2"/>
  <c r="U10" i="2"/>
  <c r="S12" i="2"/>
  <c r="BN4" i="2"/>
  <c r="AJ4" i="2"/>
  <c r="I6" i="2"/>
  <c r="O4" i="2"/>
  <c r="O8" i="2"/>
  <c r="BB4" i="2"/>
  <c r="BN10" i="2"/>
  <c r="Z10" i="2"/>
  <c r="X4" i="2"/>
  <c r="T3" i="2"/>
  <c r="U7" i="2"/>
  <c r="I2" i="2"/>
  <c r="H15" i="2"/>
  <c r="O9" i="2"/>
  <c r="AP4" i="2"/>
  <c r="L8" i="2"/>
  <c r="L4" i="2"/>
  <c r="X17" i="2"/>
  <c r="AD4" i="2"/>
  <c r="U8" i="2"/>
  <c r="Z8" i="2"/>
  <c r="I10" i="2"/>
  <c r="L17" i="2"/>
  <c r="Z7" i="2"/>
  <c r="BB12" i="2"/>
  <c r="R8" i="2"/>
  <c r="R4" i="2"/>
  <c r="AD10" i="2"/>
  <c r="N2" i="2"/>
  <c r="I7" i="2"/>
  <c r="N17" i="2"/>
  <c r="O17" i="2"/>
  <c r="I3" i="2"/>
  <c r="BG12" i="2"/>
  <c r="BH12" i="2"/>
  <c r="AP9" i="2"/>
  <c r="BH9" i="2"/>
  <c r="O6" i="2"/>
  <c r="BH17" i="2"/>
  <c r="U9" i="2"/>
  <c r="AW24" i="10"/>
  <c r="T5" i="2"/>
  <c r="AP15" i="2"/>
  <c r="C54" i="2"/>
  <c r="AV17" i="2"/>
  <c r="L12" i="2"/>
  <c r="BB10" i="2"/>
  <c r="X8" i="2"/>
  <c r="S17" i="2"/>
  <c r="Y3" i="2"/>
  <c r="AP17" i="2"/>
  <c r="BB17" i="2"/>
  <c r="BH10" i="2"/>
  <c r="AD17" i="2"/>
  <c r="BN17" i="2"/>
  <c r="I8" i="2"/>
  <c r="AV12" i="2"/>
  <c r="AD12" i="2"/>
  <c r="AV10" i="2"/>
  <c r="R17" i="2"/>
  <c r="I9" i="2"/>
  <c r="X10" i="2"/>
  <c r="T4" i="2"/>
  <c r="T6" i="2"/>
  <c r="BG16" i="2"/>
  <c r="BH16" i="2"/>
  <c r="AI12" i="2"/>
  <c r="AJ12" i="2"/>
  <c r="AJ11" i="2"/>
  <c r="K16" i="2"/>
  <c r="L16" i="2"/>
  <c r="H11" i="2"/>
  <c r="N11" i="2"/>
  <c r="E12" i="2"/>
  <c r="F12" i="2"/>
  <c r="F11" i="2"/>
  <c r="L11" i="2"/>
  <c r="AN8" i="2"/>
  <c r="AJ8" i="2"/>
  <c r="U6" i="2"/>
  <c r="Z6" i="2"/>
  <c r="U4" i="2"/>
  <c r="Z4" i="2"/>
  <c r="Y15" i="2"/>
  <c r="AE2" i="2"/>
  <c r="AA8" i="2"/>
  <c r="AF8" i="2"/>
  <c r="AA10" i="2"/>
  <c r="AF10" i="2"/>
  <c r="U3" i="2"/>
  <c r="Z3" i="2"/>
  <c r="U5" i="2"/>
  <c r="Z5" i="2"/>
  <c r="AG9" i="2"/>
  <c r="AL9" i="2"/>
  <c r="I15" i="2"/>
  <c r="N15" i="2"/>
  <c r="O2" i="2"/>
  <c r="T2" i="2"/>
  <c r="T17" i="2"/>
  <c r="AA7" i="2"/>
  <c r="AF7" i="2"/>
  <c r="E22" i="2"/>
  <c r="Y12" i="2"/>
  <c r="Y16" i="2"/>
  <c r="AE4" i="2"/>
  <c r="Y17" i="2"/>
  <c r="AE3" i="2"/>
  <c r="H12" i="2"/>
  <c r="C23" i="2"/>
  <c r="I11" i="2"/>
  <c r="H16" i="2"/>
  <c r="N16" i="2"/>
  <c r="T11" i="2"/>
  <c r="N12" i="2"/>
  <c r="O11" i="2"/>
  <c r="AG10" i="2"/>
  <c r="AL10" i="2"/>
  <c r="U2" i="2"/>
  <c r="Z2" i="2"/>
  <c r="AA6" i="2"/>
  <c r="AF6" i="2"/>
  <c r="U17" i="2"/>
  <c r="Z17" i="2"/>
  <c r="O15" i="2"/>
  <c r="T15" i="2"/>
  <c r="AE17" i="2"/>
  <c r="AK3" i="2"/>
  <c r="AA4" i="2"/>
  <c r="AF4" i="2"/>
  <c r="AM9" i="2"/>
  <c r="AR9" i="2"/>
  <c r="AE16" i="2"/>
  <c r="AK4" i="2"/>
  <c r="AA5" i="2"/>
  <c r="AF5" i="2"/>
  <c r="F22" i="2"/>
  <c r="AE12" i="2"/>
  <c r="I16" i="2"/>
  <c r="AA3" i="2"/>
  <c r="AF3" i="2"/>
  <c r="AL8" i="2"/>
  <c r="AG8" i="2"/>
  <c r="AE15" i="2"/>
  <c r="AK2" i="2"/>
  <c r="AG7" i="2"/>
  <c r="AL7" i="2"/>
  <c r="AT8" i="2"/>
  <c r="AP8" i="2"/>
  <c r="I12" i="2"/>
  <c r="O12" i="2"/>
  <c r="D23" i="2"/>
  <c r="T16" i="2"/>
  <c r="O16" i="2"/>
  <c r="U11" i="2"/>
  <c r="T12" i="2"/>
  <c r="Z11" i="2"/>
  <c r="AA17" i="2"/>
  <c r="AF17" i="2"/>
  <c r="AK16" i="2"/>
  <c r="AQ4" i="2"/>
  <c r="AG6" i="2"/>
  <c r="AL6" i="2"/>
  <c r="AK15" i="2"/>
  <c r="AQ2" i="2"/>
  <c r="U15" i="2"/>
  <c r="Z15" i="2"/>
  <c r="AS9" i="2"/>
  <c r="AX9" i="2"/>
  <c r="G22" i="2"/>
  <c r="AK12" i="2"/>
  <c r="AZ8" i="2"/>
  <c r="AV8" i="2"/>
  <c r="AK17" i="2"/>
  <c r="AQ3" i="2"/>
  <c r="AM7" i="2"/>
  <c r="AR7" i="2"/>
  <c r="AA2" i="2"/>
  <c r="AF2" i="2"/>
  <c r="AM8" i="2"/>
  <c r="AR8" i="2"/>
  <c r="AG4" i="2"/>
  <c r="AL4" i="2"/>
  <c r="AM10" i="2"/>
  <c r="AR10" i="2"/>
  <c r="AG5" i="2"/>
  <c r="AL5" i="2"/>
  <c r="AG3" i="2"/>
  <c r="AL3" i="2"/>
  <c r="AF11" i="2"/>
  <c r="Z12" i="2"/>
  <c r="AA11" i="2"/>
  <c r="U16" i="2"/>
  <c r="Z16" i="2"/>
  <c r="E23" i="2"/>
  <c r="U12" i="2"/>
  <c r="AY9" i="2"/>
  <c r="BD9" i="2"/>
  <c r="AM3" i="2"/>
  <c r="AR3" i="2"/>
  <c r="AM5" i="2"/>
  <c r="AR5" i="2"/>
  <c r="AG2" i="2"/>
  <c r="AL2" i="2"/>
  <c r="BB8" i="2"/>
  <c r="BF8" i="2"/>
  <c r="AA15" i="2"/>
  <c r="AF15" i="2"/>
  <c r="AS7" i="2"/>
  <c r="AX7" i="2"/>
  <c r="AQ17" i="2"/>
  <c r="AW3" i="2"/>
  <c r="AQ16" i="2"/>
  <c r="AW4" i="2"/>
  <c r="AM4" i="2"/>
  <c r="AR4" i="2"/>
  <c r="H22" i="2"/>
  <c r="AQ12" i="2"/>
  <c r="AG17" i="2"/>
  <c r="AL17" i="2"/>
  <c r="AX8" i="2"/>
  <c r="AS8" i="2"/>
  <c r="AW2" i="2"/>
  <c r="AQ15" i="2"/>
  <c r="AM6" i="2"/>
  <c r="AR6" i="2"/>
  <c r="AS10" i="2"/>
  <c r="AX10" i="2"/>
  <c r="F23" i="2"/>
  <c r="AA12" i="2"/>
  <c r="AF16" i="2"/>
  <c r="AA16" i="2"/>
  <c r="AL11" i="2"/>
  <c r="AF12" i="2"/>
  <c r="AG11" i="2"/>
  <c r="AM17" i="2"/>
  <c r="AR17" i="2"/>
  <c r="AW16" i="2"/>
  <c r="BC4" i="2"/>
  <c r="I22" i="2"/>
  <c r="AW12" i="2"/>
  <c r="AY10" i="2"/>
  <c r="BD10" i="2"/>
  <c r="AS3" i="2"/>
  <c r="AX3" i="2"/>
  <c r="AS4" i="2"/>
  <c r="AX4" i="2"/>
  <c r="AG15" i="2"/>
  <c r="AL15" i="2"/>
  <c r="AS5" i="2"/>
  <c r="AX5" i="2"/>
  <c r="AW17" i="2"/>
  <c r="BC3" i="2"/>
  <c r="AW15" i="2"/>
  <c r="BC2" i="2"/>
  <c r="AY7" i="2"/>
  <c r="BD7" i="2"/>
  <c r="BE9" i="2"/>
  <c r="BJ9" i="2"/>
  <c r="BL8" i="2"/>
  <c r="BH8" i="2"/>
  <c r="AM2" i="2"/>
  <c r="AR2" i="2"/>
  <c r="AS6" i="2"/>
  <c r="AX6" i="2"/>
  <c r="AY8" i="2"/>
  <c r="BD8" i="2"/>
  <c r="AG16" i="2"/>
  <c r="AL16" i="2"/>
  <c r="AG12" i="2"/>
  <c r="G23" i="2"/>
  <c r="AR11" i="2"/>
  <c r="AL12" i="2"/>
  <c r="AM11" i="2"/>
  <c r="AY3" i="2"/>
  <c r="BD3" i="2"/>
  <c r="BC15" i="2"/>
  <c r="BI2" i="2"/>
  <c r="BC17" i="2"/>
  <c r="BI3" i="2"/>
  <c r="BK9" i="2"/>
  <c r="BP9" i="2"/>
  <c r="AY4" i="2"/>
  <c r="BD4" i="2"/>
  <c r="BI4" i="2"/>
  <c r="BC16" i="2"/>
  <c r="BE8" i="2"/>
  <c r="BJ8" i="2"/>
  <c r="AY6" i="2"/>
  <c r="BD6" i="2"/>
  <c r="AS2" i="2"/>
  <c r="AX2" i="2"/>
  <c r="AM15" i="2"/>
  <c r="AR15" i="2"/>
  <c r="AS17" i="2"/>
  <c r="AX17" i="2"/>
  <c r="BE7" i="2"/>
  <c r="BJ7" i="2"/>
  <c r="BE10" i="2"/>
  <c r="BJ10" i="2"/>
  <c r="J22" i="2"/>
  <c r="BC12" i="2"/>
  <c r="AY5" i="2"/>
  <c r="BD5" i="2"/>
  <c r="BR8" i="2"/>
  <c r="BT8" i="2"/>
  <c r="BN8" i="2"/>
  <c r="AM12" i="2"/>
  <c r="H23" i="2"/>
  <c r="AR16" i="2"/>
  <c r="AM16" i="2"/>
  <c r="AR12" i="2"/>
  <c r="AS11" i="2"/>
  <c r="AX11" i="2"/>
  <c r="BI16" i="2"/>
  <c r="BO4" i="2"/>
  <c r="BE4" i="2"/>
  <c r="BJ4" i="2"/>
  <c r="BQ9" i="2"/>
  <c r="BV9" i="2"/>
  <c r="BW9" i="2"/>
  <c r="AY17" i="2"/>
  <c r="BD17" i="2"/>
  <c r="AS15" i="2"/>
  <c r="AX15" i="2"/>
  <c r="BE5" i="2"/>
  <c r="BJ5" i="2"/>
  <c r="BK7" i="2"/>
  <c r="BP7" i="2"/>
  <c r="BI17" i="2"/>
  <c r="BO3" i="2"/>
  <c r="K22" i="2"/>
  <c r="BI12" i="2"/>
  <c r="BE6" i="2"/>
  <c r="BJ6" i="2"/>
  <c r="BK10" i="2"/>
  <c r="BP10" i="2"/>
  <c r="BK8" i="2"/>
  <c r="BP8" i="2"/>
  <c r="BE3" i="2"/>
  <c r="BJ3" i="2"/>
  <c r="AY2" i="2"/>
  <c r="BD2" i="2"/>
  <c r="BI15" i="2"/>
  <c r="BO2" i="2"/>
  <c r="BD11" i="2"/>
  <c r="AX12" i="2"/>
  <c r="AY11" i="2"/>
  <c r="AS16" i="2"/>
  <c r="AX16" i="2"/>
  <c r="I23" i="2"/>
  <c r="AS12" i="2"/>
  <c r="BK5" i="2"/>
  <c r="BP5" i="2"/>
  <c r="BQ10" i="2"/>
  <c r="BV10" i="2"/>
  <c r="BW10" i="2"/>
  <c r="BE17" i="2"/>
  <c r="BJ17" i="2"/>
  <c r="BO15" i="2"/>
  <c r="BU2" i="2"/>
  <c r="BU15" i="2"/>
  <c r="BK4" i="2"/>
  <c r="BP4" i="2"/>
  <c r="AY15" i="2"/>
  <c r="BD15" i="2"/>
  <c r="BK6" i="2"/>
  <c r="BP6" i="2"/>
  <c r="L22" i="2"/>
  <c r="BO12" i="2"/>
  <c r="BO17" i="2"/>
  <c r="BU3" i="2"/>
  <c r="BU17" i="2"/>
  <c r="BK3" i="2"/>
  <c r="BP3" i="2"/>
  <c r="BQ7" i="2"/>
  <c r="BV7" i="2"/>
  <c r="BW7" i="2"/>
  <c r="BO16" i="2"/>
  <c r="BU4" i="2"/>
  <c r="BU16" i="2"/>
  <c r="BQ8" i="2"/>
  <c r="BV8" i="2"/>
  <c r="BW8" i="2"/>
  <c r="BE2" i="2"/>
  <c r="BJ2" i="2"/>
  <c r="J23" i="2"/>
  <c r="AY12" i="2"/>
  <c r="BD16" i="2"/>
  <c r="AY16" i="2"/>
  <c r="BD12" i="2"/>
  <c r="BE11" i="2"/>
  <c r="BJ11" i="2"/>
  <c r="BE15" i="2"/>
  <c r="BJ15" i="2"/>
  <c r="BQ4" i="2"/>
  <c r="BV4" i="2"/>
  <c r="BW4" i="2"/>
  <c r="BK17" i="2"/>
  <c r="BP17" i="2"/>
  <c r="M22" i="2"/>
  <c r="BU12" i="2"/>
  <c r="N22" i="2"/>
  <c r="BQ6" i="2"/>
  <c r="BV6" i="2"/>
  <c r="BW6" i="2"/>
  <c r="BQ5" i="2"/>
  <c r="BV5" i="2"/>
  <c r="BW5" i="2"/>
  <c r="BQ3" i="2"/>
  <c r="BV3" i="2"/>
  <c r="BW3" i="2"/>
  <c r="BK2" i="2"/>
  <c r="BP2" i="2"/>
  <c r="BP11" i="2"/>
  <c r="BJ12" i="2"/>
  <c r="BK11" i="2"/>
  <c r="BE16" i="2"/>
  <c r="BJ16" i="2"/>
  <c r="K23" i="2"/>
  <c r="BE12" i="2"/>
  <c r="BQ2" i="2"/>
  <c r="BV2" i="2"/>
  <c r="BW2" i="2"/>
  <c r="BQ17" i="2"/>
  <c r="BV17" i="2"/>
  <c r="BW17" i="2"/>
  <c r="BK15" i="2"/>
  <c r="BP15" i="2"/>
  <c r="BK12" i="2"/>
  <c r="L23" i="2"/>
  <c r="BP16" i="2"/>
  <c r="BK16" i="2"/>
  <c r="BQ11" i="2"/>
  <c r="BV11" i="2"/>
  <c r="BP12" i="2"/>
  <c r="BQ15" i="2"/>
  <c r="BV15" i="2"/>
  <c r="BW15" i="2"/>
  <c r="M23" i="2"/>
  <c r="BQ12" i="2"/>
  <c r="BQ16" i="2"/>
  <c r="BV16" i="2"/>
  <c r="BW16" i="2"/>
  <c r="BV12" i="2"/>
  <c r="BW12" i="2"/>
  <c r="BW11" i="2"/>
</calcChain>
</file>

<file path=xl/comments1.xml><?xml version="1.0" encoding="utf-8"?>
<comments xmlns="http://schemas.openxmlformats.org/spreadsheetml/2006/main">
  <authors>
    <author>tc={15249559-4E3B-42F8-8401-1BB4AE91F342}</author>
  </authors>
  <commentList>
    <comment ref="H8" authorId="0" shapeId="0">
      <text>
        <r>
          <rPr>
            <sz val="11"/>
            <color theme="1"/>
            <rFont val="新細明體"/>
            <family val="2"/>
            <scheme val="minor"/>
          </rPr>
          <t>[Threaded comment]
Your version of Excel allows you to read this threaded comment; however, any edits to it will get removed if the file is opened in a newer version of Excel. Learn more: https://go.microsoft.com/fwlink/?linkid=870924
Comment:
    Co-work with IE to improve PPH</t>
        </r>
      </text>
    </comment>
  </commentList>
</comments>
</file>

<file path=xl/sharedStrings.xml><?xml version="1.0" encoding="utf-8"?>
<sst xmlns="http://schemas.openxmlformats.org/spreadsheetml/2006/main" count="1112" uniqueCount="380">
  <si>
    <t>#</t>
  </si>
  <si>
    <t>Client Name</t>
  </si>
  <si>
    <t>Initiative Description</t>
  </si>
  <si>
    <t>Sector(HC/non-HC)</t>
  </si>
  <si>
    <t>CLIENT Code</t>
  </si>
  <si>
    <t>Costs center</t>
  </si>
  <si>
    <t>Costs Accting Code</t>
  </si>
  <si>
    <t>Start date</t>
  </si>
  <si>
    <t>End date</t>
  </si>
  <si>
    <t>Savings Target(USD)</t>
  </si>
  <si>
    <t>Accting Code Plan (Jan)</t>
  </si>
  <si>
    <t>Accounting code Actual (Jan)</t>
  </si>
  <si>
    <t>Plan vs Actual
(Jan)</t>
  </si>
  <si>
    <t>Accting Code Plan (Feb)</t>
  </si>
  <si>
    <t>Accounting code Actual (Feb)</t>
  </si>
  <si>
    <t>Plan vs Actual
(Feb)</t>
  </si>
  <si>
    <t>Accting Code Plan (Mar)</t>
  </si>
  <si>
    <t>Accounting code Actual (Mar)</t>
  </si>
  <si>
    <t>Plan vs Actual
(Mar)</t>
  </si>
  <si>
    <t>Accting Code Plan (Apr)</t>
  </si>
  <si>
    <t>Accounting code Actual (Apr)</t>
  </si>
  <si>
    <t>Plan vs Actual
(Apr)</t>
  </si>
  <si>
    <t>Accting Code Plan (May)</t>
  </si>
  <si>
    <t>Accounting code Actual (May)</t>
  </si>
  <si>
    <t>Plan vs Actual
(May)</t>
  </si>
  <si>
    <t>Accting Code Plan (Jun)</t>
  </si>
  <si>
    <t>Accounting code Actual (Jun)</t>
  </si>
  <si>
    <t>Plan vs Actual
(Jun)</t>
  </si>
  <si>
    <t>Accting Code Plan (Jul)</t>
  </si>
  <si>
    <t>Accounting code Actual (Jul)</t>
  </si>
  <si>
    <t>Plan vs Actual
(Jul)</t>
  </si>
  <si>
    <t>Accting Code Plan (Aug)</t>
  </si>
  <si>
    <t>Accounting code Actual (Aug)</t>
  </si>
  <si>
    <t>Plan vs Actual
(Aug)</t>
  </si>
  <si>
    <t>Accting Code Plan (Sep)</t>
  </si>
  <si>
    <t>Accounting code Actual (Sep)</t>
  </si>
  <si>
    <t>Plan vs Actual
(Sep)</t>
  </si>
  <si>
    <t>Accting Code Plan (Oct)</t>
  </si>
  <si>
    <t>Accounting code Actual (Oct)</t>
  </si>
  <si>
    <t>Plan vs Actual
(Oct)</t>
  </si>
  <si>
    <t>Accting Code Plan (Nov)</t>
  </si>
  <si>
    <t>Accounting code Actual (Nov)</t>
  </si>
  <si>
    <t>Plan vs Actual
(Nov)</t>
  </si>
  <si>
    <t>Accting Code Plan (Dec)</t>
  </si>
  <si>
    <t>Accounting code Actual (Dec)</t>
  </si>
  <si>
    <t>Plan vs Actual
(Dec)</t>
  </si>
  <si>
    <t>Accting Code Plan 2022</t>
  </si>
  <si>
    <t>Accounting code Actual YTD 2022</t>
  </si>
  <si>
    <t>2022
Plan vs Actual</t>
  </si>
  <si>
    <t>Cummulative savings</t>
  </si>
  <si>
    <t>2022 Savings
Plan vs Actual</t>
  </si>
  <si>
    <t>Initiator</t>
    <phoneticPr fontId="10" type="noConversion"/>
  </si>
  <si>
    <t>Monthly Saving</t>
    <phoneticPr fontId="10" type="noConversion"/>
  </si>
  <si>
    <t>Proposal Link</t>
    <phoneticPr fontId="10" type="noConversion"/>
  </si>
  <si>
    <t>Sample</t>
    <phoneticPr fontId="10" type="noConversion"/>
  </si>
  <si>
    <t>APPLIED MATERIALS - AMAT</t>
  </si>
  <si>
    <t>[Temp Labor Saving]-Testing</t>
  </si>
  <si>
    <t>non-HC</t>
  </si>
  <si>
    <t>AP00015</t>
  </si>
  <si>
    <t>TW444172</t>
  </si>
  <si>
    <t>Elaine</t>
  </si>
  <si>
    <t>[UPSer Cost]-Merge Tool Implementation</t>
  </si>
  <si>
    <t>[UPS Labor]-Counting Machine Implementation</t>
  </si>
  <si>
    <t>RF gun re model repalcement</t>
  </si>
  <si>
    <t>Applied Reverse Camera Machine</t>
  </si>
  <si>
    <t>Power fee saving of TNN facility</t>
  </si>
  <si>
    <t>AP00016</t>
    <phoneticPr fontId="10" type="noConversion"/>
  </si>
  <si>
    <t>TW444170</t>
    <phoneticPr fontId="10" type="noConversion"/>
  </si>
  <si>
    <t>Shift re-arrangement
1. Night shift extension
2. Weeken shift establishment</t>
  </si>
  <si>
    <t>APPLIED MATERIALS - EPG</t>
  </si>
  <si>
    <t>Power fee saving of EPG FTZ facility</t>
  </si>
  <si>
    <t>AP21N30</t>
  </si>
  <si>
    <t>TW401685</t>
  </si>
  <si>
    <t>Philips Medical</t>
  </si>
  <si>
    <t>QMS and GDP license application</t>
  </si>
  <si>
    <t>AP00135</t>
  </si>
  <si>
    <t>TW444171</t>
  </si>
  <si>
    <t>Total</t>
  </si>
  <si>
    <t>Country team sharepoint site:</t>
  </si>
  <si>
    <t>https://wss.inside.ups.com/sites/APACCL/Industrial%20Engineering/Shared%20Documents/TW%20CL%20Database/Audit/CMI%20-%20Cost%20Management%20Initiative/CMI%20Tracker_APAC%202022%20v1.xlsm?web=1</t>
  </si>
  <si>
    <t>Facility</t>
    <phoneticPr fontId="10" type="noConversion"/>
  </si>
  <si>
    <t>Facility Code</t>
    <phoneticPr fontId="10" type="noConversion"/>
  </si>
  <si>
    <t>Customer</t>
    <phoneticPr fontId="10" type="noConversion"/>
  </si>
  <si>
    <t>Customer Code</t>
    <phoneticPr fontId="10" type="noConversion"/>
  </si>
  <si>
    <t>Costs Accting Item</t>
    <phoneticPr fontId="10" type="noConversion"/>
  </si>
  <si>
    <t>TAINAN, TW (TMC DC)</t>
  </si>
  <si>
    <t>TW400576</t>
  </si>
  <si>
    <t>ALCATEL - SPL</t>
  </si>
  <si>
    <t>AP00010</t>
  </si>
  <si>
    <t>HANDLING REVENUE</t>
  </si>
  <si>
    <t>KHH EPG - TW</t>
  </si>
  <si>
    <t>TW401685</t>
    <phoneticPr fontId="10" type="noConversion"/>
  </si>
  <si>
    <t>APPLIED MATERIAL EPG</t>
  </si>
  <si>
    <t>REVENUE - WAREHOUSE - HANDLING</t>
  </si>
  <si>
    <t>NAN-KAN 2, TW</t>
  </si>
  <si>
    <t>TW426233</t>
  </si>
  <si>
    <t>APPLIED MATERIALS - AKT</t>
  </si>
  <si>
    <t>AP00014</t>
  </si>
  <si>
    <t>WAREHOUSE IN / OUT SERVICE REVENUE - EXTERNAL</t>
  </si>
  <si>
    <t>TAINAN, TW - AGENT</t>
  </si>
  <si>
    <t>TW444170</t>
  </si>
  <si>
    <t>WAREHOUSE STORAGE REVENUE - EXTERNAL</t>
  </si>
  <si>
    <t>NEI-HU, TW</t>
  </si>
  <si>
    <t>TW444171</t>
    <phoneticPr fontId="10" type="noConversion"/>
  </si>
  <si>
    <t>APPLIED MATERIALS - AMT</t>
  </si>
  <si>
    <t>AP00016</t>
  </si>
  <si>
    <t>WAREHOUSE PACKING REVENUE - EXTERNAL</t>
  </si>
  <si>
    <t>NAN-KAN, TW</t>
  </si>
  <si>
    <t>APPLIED MATERIALS - AMT-TMC</t>
  </si>
  <si>
    <t>AP00602</t>
  </si>
  <si>
    <t>REVENUE - WAREHOUSE - OTHER</t>
  </si>
  <si>
    <t>ARUBA</t>
  </si>
  <si>
    <t>AP00445</t>
  </si>
  <si>
    <t>TRANSPORTATION REVENUE</t>
  </si>
  <si>
    <t>ASM</t>
  </si>
  <si>
    <t>AP00665</t>
  </si>
  <si>
    <t>REVENUE - FEES - INTERNATIONAL - OUTBOUND</t>
  </si>
  <si>
    <t>AVAYA ASIA PACIFIC INC</t>
  </si>
  <si>
    <t>AP00399</t>
  </si>
  <si>
    <t>REVENUE - ADJUSTMENT -  INTERNATIONAL</t>
  </si>
  <si>
    <t>BROOKS</t>
  </si>
  <si>
    <t>AP00027</t>
  </si>
  <si>
    <t>OTHER OUTSIDE DELIVERY SERVICE</t>
  </si>
  <si>
    <t>CIENA</t>
  </si>
  <si>
    <t>AP00209</t>
  </si>
  <si>
    <t>BROKERAGE OUTSIDE SERVICE</t>
  </si>
  <si>
    <t>CITRIX SYSTEMS INC</t>
  </si>
  <si>
    <t>AP00529</t>
  </si>
  <si>
    <t>3RD PARTY OTHER</t>
  </si>
  <si>
    <t>CYMER SEMICONDUCTOR</t>
  </si>
  <si>
    <t>AP00218</t>
  </si>
  <si>
    <t>INTERCOMPANY EXPENSE - TRANSPORTATION EXPENSE - SMALL PACKAGE - REBILLED - INTRA-COUNTRY</t>
  </si>
  <si>
    <t>EUGENE TECHNOLOGY</t>
  </si>
  <si>
    <t>AP00496</t>
  </si>
  <si>
    <t>DIESEL FUEL</t>
  </si>
  <si>
    <t>EXTREME</t>
  </si>
  <si>
    <t>AP00052</t>
  </si>
  <si>
    <t>TOLLS/FERRY CHARGES &amp; CARFARE</t>
  </si>
  <si>
    <t>FOUNDRY</t>
  </si>
  <si>
    <t>AP00058</t>
  </si>
  <si>
    <t>HELPERS OUTSIDE</t>
  </si>
  <si>
    <t>GENERAL ELECTRIC - HEALTHCARE</t>
  </si>
  <si>
    <t>AP00060</t>
  </si>
  <si>
    <t>OUTSIDE ADMINISTRATIVE SERVICES</t>
  </si>
  <si>
    <t>HCL AMERICA</t>
  </si>
  <si>
    <t>AP00699</t>
  </si>
  <si>
    <t>DIRECT LABOR - AGENTS</t>
  </si>
  <si>
    <t>HITACHI GLOBAL S.T. - VMI</t>
  </si>
  <si>
    <t>AP00071</t>
  </si>
  <si>
    <t>OVERTIME PAY</t>
  </si>
  <si>
    <t>JUNIPER</t>
  </si>
  <si>
    <t>AP00087</t>
  </si>
  <si>
    <t>PAYROLL MANAGEMENT</t>
  </si>
  <si>
    <t>JUNIPER LOANER &amp; DEMO</t>
  </si>
  <si>
    <t>AP00409</t>
  </si>
  <si>
    <t>OVERTIME PAY - TECHNICAL &amp; PROFESSIONAL EMPLOYEES</t>
  </si>
  <si>
    <t>KORNIT DIGITAL</t>
  </si>
  <si>
    <t>AP00519</t>
  </si>
  <si>
    <t>TECHNICAL &amp; PROFESSIONAL EMPLOYEES</t>
  </si>
  <si>
    <t>KOSSE PARTNERS, DBA FORTRESS SOLUTIONS</t>
  </si>
  <si>
    <t>AP00685</t>
  </si>
  <si>
    <t>SEPARATION PAY - OPERATIONS</t>
  </si>
  <si>
    <t>LAM RESEARCH</t>
  </si>
  <si>
    <t>AP00538</t>
  </si>
  <si>
    <t>MEAL MONEY - DRIVERS</t>
  </si>
  <si>
    <t>MAINTECH</t>
  </si>
  <si>
    <t>AP00299</t>
  </si>
  <si>
    <t>EMPLOYEE QUALITY RECOGNITION</t>
  </si>
  <si>
    <t>MORNINGSTAR</t>
  </si>
  <si>
    <t>AP00119</t>
  </si>
  <si>
    <t>GROUP LIFE INSURANCE</t>
  </si>
  <si>
    <t>NATIONAL INSTRUMENTS</t>
  </si>
  <si>
    <t>AP00440</t>
  </si>
  <si>
    <t>SOCIALLY FUNDED PENSION</t>
  </si>
  <si>
    <t>NETWORK APPLIANCE</t>
  </si>
  <si>
    <t>AP00121</t>
  </si>
  <si>
    <t>OTHER PRIVATE FUNDED BENEFITS</t>
  </si>
  <si>
    <t>NOVA MEASURING INSTRUMENT</t>
  </si>
  <si>
    <t>AP00599</t>
  </si>
  <si>
    <t>PHYSICAL EXAM - OTHERS</t>
  </si>
  <si>
    <t>NVIDIA CORPORATION</t>
  </si>
  <si>
    <t>AP00642</t>
  </si>
  <si>
    <t>OTHER SOCIALLY FUNDED BENEFITS</t>
  </si>
  <si>
    <t>ORBOTECH PACIFIC LTD</t>
  </si>
  <si>
    <t>AP00129</t>
  </si>
  <si>
    <t>MANAGERS INCENTIVE</t>
  </si>
  <si>
    <t>PALO ALTO NETWORKS</t>
  </si>
  <si>
    <t>AP00615</t>
  </si>
  <si>
    <t>SPECIAL BONUS PAY</t>
  </si>
  <si>
    <t>PHILIPS - HEALTHCARE</t>
  </si>
  <si>
    <t>PORTER SERVICE - OUTSIDE</t>
  </si>
  <si>
    <t>RISE SUN</t>
  </si>
  <si>
    <t>AP00154</t>
  </si>
  <si>
    <t>REPAIRS TO BLDG ELECT OUTSIDE</t>
  </si>
  <si>
    <t>RIVERBED</t>
  </si>
  <si>
    <t>AP00155</t>
  </si>
  <si>
    <t>PAINTING OUTSIDE</t>
  </si>
  <si>
    <t>ROCKWELL GROUP</t>
  </si>
  <si>
    <t>AP00156</t>
  </si>
  <si>
    <t>REPAIRS TO HVAC OUTSIDE</t>
  </si>
  <si>
    <t>RUCKUS WIRELESS</t>
  </si>
  <si>
    <t>AP00521</t>
  </si>
  <si>
    <t>FIRE &amp; BURGLAR ALARM</t>
  </si>
  <si>
    <t>SEAGATE - CP</t>
  </si>
  <si>
    <t>AP00161</t>
  </si>
  <si>
    <t>LONG TERM LEASE - MISCELLANEOUS OPERATIONS EQUIPMENT - BASE RENT (FIXED)</t>
  </si>
  <si>
    <t>SUPER MICRO COMPUTER</t>
  </si>
  <si>
    <t>AP00637</t>
  </si>
  <si>
    <t>LONG TERM LEASE - REAL ESTATE (LAND &amp; STRUCTURE) BASE RENT (FIXED)</t>
  </si>
  <si>
    <t>TEKTRONIX</t>
  </si>
  <si>
    <t>AP00489</t>
  </si>
  <si>
    <t>LIGHT &amp; POWER</t>
  </si>
  <si>
    <t>TERADATA</t>
  </si>
  <si>
    <t>AP00185</t>
  </si>
  <si>
    <t>WATER</t>
  </si>
  <si>
    <t>TERADYNE</t>
  </si>
  <si>
    <t>AP00545</t>
  </si>
  <si>
    <t>OUTSIDE STORAGE</t>
  </si>
  <si>
    <t>UNDEFINED</t>
  </si>
  <si>
    <t>REPAIRS TO OTHER PLANT EQUIPMENT</t>
  </si>
  <si>
    <t>UNOCCUPIED SPACE</t>
  </si>
  <si>
    <t>AP00001</t>
  </si>
  <si>
    <t>REPAIRS TO OTHER PLANT EQUIPMENT - UPS AUTO</t>
  </si>
  <si>
    <t>VMWARE</t>
  </si>
  <si>
    <t>AP20N15</t>
  </si>
  <si>
    <t>PLANT SUPPLIES</t>
  </si>
  <si>
    <t>YOUNG LIVING</t>
  </si>
  <si>
    <t>AP00626</t>
  </si>
  <si>
    <t>PACKAGING SUPPLIES - INTERNALLY USED</t>
  </si>
  <si>
    <t>PLANT EQUIPMENT BELOW THRESHOLD</t>
  </si>
  <si>
    <t>COMPUTER EQUIPMENT BELOW THRESHOLD</t>
  </si>
  <si>
    <t>COMPUTERS BELOW THRESHOLD</t>
  </si>
  <si>
    <t>REPAIRS TO PLANT EQUIPMENT BELOW THRESHOLD</t>
  </si>
  <si>
    <t>WAREHOUSE EQUIPMENT MAINTENANCE/OPERATION</t>
  </si>
  <si>
    <t>PLANT HOUSEKEEPING SUPPLIES</t>
  </si>
  <si>
    <t>PLANT HOUSEKEEPING EQUIPMENT BELOW THRESHOLD</t>
  </si>
  <si>
    <t>PLANT MAINTENANCE SUPPLIES</t>
  </si>
  <si>
    <t>PLANT MAINTENANCE EQUIPMENT BELOW THRESHOLD</t>
  </si>
  <si>
    <t>SORT SUPPLIES</t>
  </si>
  <si>
    <t>DEPRECIATION OF TECHNICAL EQUIPMENT</t>
  </si>
  <si>
    <t>AMORTIZATION OF PURCHASED SOFTWARE FOR INTERNAL USE</t>
  </si>
  <si>
    <t>AMORTIZATION LEASEHOLD IMPROVEMENT</t>
  </si>
  <si>
    <t>DEPRECIATION OF OTHER PLANT EQUIPMENT</t>
  </si>
  <si>
    <t>DEPRECIATION OF FURNITURE AND OFFICE EQUIPMENT</t>
  </si>
  <si>
    <t>EXPRESS MAIL</t>
  </si>
  <si>
    <t>FAX AND FAX USAGE CHARGES</t>
  </si>
  <si>
    <t>DATA SERVICE AND FACILITIES</t>
  </si>
  <si>
    <t>COMPUTER SUPPLIES</t>
  </si>
  <si>
    <t>OUTSIDE DATA PROCESSING SERVICE</t>
  </si>
  <si>
    <t>COMPUTER MAINTENANCE AGREEMENT - PC &amp; MIDRANGE</t>
  </si>
  <si>
    <t>VOICE CALL USAGE FROM TELEPHONE COMPANY</t>
  </si>
  <si>
    <t>TELECOM EQUIPMENT COST &amp; RENTALS</t>
  </si>
  <si>
    <t>STATIONERY &amp; PRINTING UPS</t>
  </si>
  <si>
    <t>STATIONERY &amp; PRINTING CUSTOMER</t>
  </si>
  <si>
    <t>OFFICE SUPPLIES</t>
  </si>
  <si>
    <t>MAINTENANCE AGREEMENTS &amp; REPAIRS</t>
  </si>
  <si>
    <t>OFFICE EQUIPMENT BELOW THRESHOLD</t>
  </si>
  <si>
    <t>EMPLOYEE EXPENSE REIMBURSEMENT - LODGING</t>
  </si>
  <si>
    <t>BUSINESS MEETINGS - MEALS</t>
  </si>
  <si>
    <t>BUSINESS TRAVEL MEALS - EMPLOYEES</t>
  </si>
  <si>
    <t>OUTSIDE EMPLOYEE TRAINING</t>
  </si>
  <si>
    <t>MILES/KILOMETER ALLOWANCE</t>
  </si>
  <si>
    <t>EMPLOYEE EXPENSE REIMBURSEMENT - TRANSPORTATION</t>
  </si>
  <si>
    <t>BAD DEBT PROVISION</t>
  </si>
  <si>
    <t>CUSTOMER RELATIONS NON-ENTERTAINMENT EXPENSE</t>
  </si>
  <si>
    <t>GENERAL LIABILITY INSURANCE.</t>
  </si>
  <si>
    <t>PROPERTY INSURANCE NON-PACKAGE</t>
  </si>
  <si>
    <t>MERCHANDISE TRANSIT INSURANCE</t>
  </si>
  <si>
    <t>INSURANCE TO CUSTOMERS</t>
  </si>
  <si>
    <t>MISCELLANEOUS SERVICES FOR EMPLOYEE</t>
  </si>
  <si>
    <t>OTHER MISCELLANEOUS MEDICAL</t>
  </si>
  <si>
    <t>PHYSICAL EXAM - SUPERVISOR</t>
  </si>
  <si>
    <t>MEDICAL SUPPLIES</t>
  </si>
  <si>
    <t>GAIN/LOSS ON PLANT EQUIPMENT DISPOSAL</t>
  </si>
  <si>
    <t>Summary</t>
  </si>
  <si>
    <t>Target HC 2020</t>
  </si>
  <si>
    <t>USD 30,000</t>
  </si>
  <si>
    <t>Target NHC 2020</t>
  </si>
  <si>
    <t>USD 43,000</t>
  </si>
  <si>
    <t>Target Total 2020</t>
  </si>
  <si>
    <t>USD 73,000</t>
  </si>
  <si>
    <t>Sector/Month</t>
  </si>
  <si>
    <t>Sum of Target Saving USD</t>
  </si>
  <si>
    <t>Sum of Forecast Saving USD</t>
  </si>
  <si>
    <t>Sum of Actual Saving USD</t>
  </si>
  <si>
    <t>Effectiveness %</t>
  </si>
  <si>
    <t>HC</t>
  </si>
  <si>
    <t>01</t>
  </si>
  <si>
    <t>02</t>
  </si>
  <si>
    <t>03</t>
  </si>
  <si>
    <t>04</t>
  </si>
  <si>
    <t>05</t>
  </si>
  <si>
    <t>06</t>
  </si>
  <si>
    <t>07</t>
  </si>
  <si>
    <t>08</t>
  </si>
  <si>
    <t>09</t>
  </si>
  <si>
    <t>10</t>
  </si>
  <si>
    <t>11</t>
  </si>
  <si>
    <t>12</t>
  </si>
  <si>
    <t>NHC</t>
  </si>
  <si>
    <t>Grand Total</t>
  </si>
  <si>
    <t>Country</t>
  </si>
  <si>
    <t>CMI Plan</t>
  </si>
  <si>
    <t>Jan Goal</t>
  </si>
  <si>
    <t>Jan Act savings</t>
  </si>
  <si>
    <t>% Eff</t>
  </si>
  <si>
    <t>YTD Goal</t>
  </si>
  <si>
    <t>YTD Act savings</t>
  </si>
  <si>
    <t>YTD % Eff</t>
  </si>
  <si>
    <t>Feb Goal</t>
  </si>
  <si>
    <t>Feb Act savings</t>
  </si>
  <si>
    <t>Mar Goal</t>
  </si>
  <si>
    <t>Mar Act savings</t>
  </si>
  <si>
    <t>Apr Goal</t>
  </si>
  <si>
    <t>Apr Act savings</t>
  </si>
  <si>
    <t>May Goal</t>
  </si>
  <si>
    <t>May Act savings</t>
  </si>
  <si>
    <t>Jun Goal</t>
  </si>
  <si>
    <t>Jun Act savings</t>
  </si>
  <si>
    <t>Jul Goal</t>
  </si>
  <si>
    <t>Jul Act savings</t>
  </si>
  <si>
    <t>Aug Goal</t>
  </si>
  <si>
    <t>Aug Act savings</t>
  </si>
  <si>
    <t>Sep Goal</t>
  </si>
  <si>
    <t>Sep Act savings</t>
  </si>
  <si>
    <t>Oct Goal</t>
  </si>
  <si>
    <t>Oct Act savings</t>
  </si>
  <si>
    <t>Nov Goal</t>
  </si>
  <si>
    <t>Nov Act savings</t>
  </si>
  <si>
    <t>Dec Goal</t>
  </si>
  <si>
    <t>Dec Act savings</t>
  </si>
  <si>
    <t>AU</t>
  </si>
  <si>
    <t>CN</t>
  </si>
  <si>
    <t>HK</t>
  </si>
  <si>
    <t>JP</t>
  </si>
  <si>
    <t>KR</t>
  </si>
  <si>
    <t>MY</t>
  </si>
  <si>
    <t>PH</t>
  </si>
  <si>
    <t>SG</t>
  </si>
  <si>
    <t>TH</t>
  </si>
  <si>
    <t>TW</t>
  </si>
  <si>
    <t>total</t>
  </si>
  <si>
    <t>District</t>
  </si>
  <si>
    <t>South</t>
  </si>
  <si>
    <t>North</t>
  </si>
  <si>
    <t>China</t>
  </si>
  <si>
    <t>APAC Summary:</t>
  </si>
  <si>
    <t>Jan</t>
  </si>
  <si>
    <t>Feb</t>
  </si>
  <si>
    <t>Mar</t>
  </si>
  <si>
    <t>Apr</t>
  </si>
  <si>
    <t>May</t>
  </si>
  <si>
    <t>Jun</t>
  </si>
  <si>
    <t>Jul</t>
  </si>
  <si>
    <t>Aug</t>
  </si>
  <si>
    <t>Sep</t>
  </si>
  <si>
    <t>Oct</t>
  </si>
  <si>
    <t>Nov</t>
  </si>
  <si>
    <t>Dec</t>
  </si>
  <si>
    <t>YTD savings</t>
  </si>
  <si>
    <t>APAC CL YTD Jan</t>
  </si>
  <si>
    <t>Country 2021 CMI plan (USD)</t>
  </si>
  <si>
    <t>CND</t>
  </si>
  <si>
    <t>NAD</t>
  </si>
  <si>
    <t>SAD</t>
  </si>
  <si>
    <t>TOTAL</t>
  </si>
  <si>
    <t>APAC(exlcude Agents and VN)</t>
  </si>
  <si>
    <t>GLD</t>
  </si>
  <si>
    <t>2020 YTD savings</t>
  </si>
  <si>
    <t>GL</t>
  </si>
  <si>
    <t>Add BP saving Plan</t>
  </si>
  <si>
    <t>Total Plan</t>
  </si>
  <si>
    <t>YTD effectiveness</t>
  </si>
  <si>
    <t>ID</t>
  </si>
  <si>
    <t>NZ</t>
  </si>
  <si>
    <t>HLD</t>
  </si>
  <si>
    <t>GL+HLD</t>
  </si>
  <si>
    <t>Q1 YTD Goal</t>
  </si>
  <si>
    <t>Q1 YTD savings</t>
  </si>
  <si>
    <t xml:space="preserve">Total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</si>
</sst>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43" formatCode="_(* #,##0.00_);_(* \(#,##0.00\);_(* &quot;-&quot;??_);_(@_)"/>
    <numFmt numFmtId="164" formatCode="_(&quot;$&quot;* #,##0_);_(&quot;$&quot;* \(#,##0\);_(&quot;$&quot;* &quot;-&quot;??_);_(@_)"/>
    <numFmt numFmtId="165" formatCode="_([$USD]\ * #,##0.00_);_([$USD]\ * \(#,##0.00\);_([$USD]\ * &quot;-&quot;??_);_(@_)"/>
    <numFmt numFmtId="166" formatCode="_([$AUD]\ * #,##0.00_);_([$AUD]\ * \(#,##0.00\);_([$AUD]\ * &quot;-&quot;??_);_(@_)"/>
    <numFmt numFmtId="167" formatCode="#,##0_);[Red]\(#,##0\);0_)"/>
    <numFmt numFmtId="168" formatCode="_(* #,##0_);_(* \(#,##0\);_(* &quot;-&quot;??_);_(@_)"/>
  </numFmts>
  <fonts count="11">
    <font>
      <sz val="11"/>
      <color theme="1"/>
      <name val="新細明體"/>
      <family val="2"/>
      <scheme val="minor"/>
    </font>
    <font>
      <sz val="11"/>
      <color theme="1"/>
      <name val="新細明體"/>
      <family val="2"/>
      <scheme val="minor"/>
    </font>
    <font>
      <sz val="11"/>
      <name val="新細明體"/>
      <family val="2"/>
      <scheme val="minor"/>
    </font>
    <font>
      <b/>
      <sz val="11"/>
      <color theme="1"/>
      <name val="新細明體"/>
      <family val="2"/>
      <scheme val="minor"/>
    </font>
    <font>
      <b/>
      <sz val="12"/>
      <color theme="1"/>
      <name val="新細明體"/>
      <family val="2"/>
      <scheme val="minor"/>
    </font>
    <font>
      <b/>
      <sz val="9"/>
      <color theme="1"/>
      <name val="新細明體"/>
      <family val="2"/>
      <scheme val="minor"/>
    </font>
    <font>
      <sz val="9"/>
      <color theme="1"/>
      <name val="新細明體"/>
      <family val="2"/>
      <scheme val="minor"/>
    </font>
    <font>
      <u/>
      <sz val="11"/>
      <color theme="10"/>
      <name val="新細明體"/>
      <family val="2"/>
      <scheme val="minor"/>
    </font>
    <font>
      <b/>
      <sz val="11"/>
      <color rgb="FF000000"/>
      <name val="新細明體"/>
      <family val="2"/>
      <scheme val="minor"/>
    </font>
    <font>
      <sz val="11"/>
      <color rgb="FF000000"/>
      <name val="新細明體"/>
      <family val="2"/>
      <scheme val="minor"/>
    </font>
    <font>
      <sz val="9"/>
      <name val="新細明體"/>
      <family val="3"/>
      <charset val="136"/>
      <scheme val="minor"/>
    </font>
  </fonts>
  <fills count="14">
    <fill>
      <patternFill patternType="none"/>
    </fill>
    <fill>
      <patternFill patternType="gray125"/>
    </fill>
    <fill>
      <patternFill patternType="solid">
        <fgColor rgb="FFFFC000"/>
        <bgColor indexed="64"/>
      </patternFill>
    </fill>
    <fill>
      <patternFill patternType="solid">
        <fgColor rgb="FF00CC00"/>
        <bgColor indexed="64"/>
      </patternFill>
    </fill>
    <fill>
      <patternFill patternType="solid">
        <fgColor rgb="FF008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167" fontId="1" fillId="0" borderId="0">
      <alignment vertical="top"/>
    </xf>
    <xf numFmtId="0" fontId="7" fillId="0" borderId="0" applyNumberFormat="0" applyFill="0" applyBorder="0" applyAlignment="0" applyProtection="0"/>
    <xf numFmtId="43" fontId="1" fillId="0" borderId="0" applyFont="0" applyFill="0" applyBorder="0" applyAlignment="0" applyProtection="0"/>
  </cellStyleXfs>
  <cellXfs count="135">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164" fontId="0" fillId="0" borderId="1" xfId="1" applyNumberFormat="1" applyFont="1" applyBorder="1" applyAlignment="1">
      <alignment horizontal="center" vertical="center"/>
    </xf>
    <xf numFmtId="9" fontId="0" fillId="0" borderId="1" xfId="2" applyFont="1" applyBorder="1" applyAlignment="1">
      <alignment horizontal="center" vertical="center"/>
    </xf>
    <xf numFmtId="0" fontId="0" fillId="0" borderId="1" xfId="0" applyBorder="1"/>
    <xf numFmtId="164" fontId="0" fillId="0" borderId="1" xfId="1" applyNumberFormat="1" applyFont="1" applyBorder="1"/>
    <xf numFmtId="164" fontId="0" fillId="0" borderId="1" xfId="0" applyNumberFormat="1" applyBorder="1" applyAlignment="1">
      <alignment horizontal="center" vertical="center"/>
    </xf>
    <xf numFmtId="9" fontId="0" fillId="0" borderId="1" xfId="0" applyNumberFormat="1" applyBorder="1" applyAlignment="1">
      <alignment horizontal="center" vertical="center"/>
    </xf>
    <xf numFmtId="0" fontId="0" fillId="3" borderId="1" xfId="0" applyFill="1" applyBorder="1" applyAlignment="1">
      <alignment horizontal="center" wrapText="1"/>
    </xf>
    <xf numFmtId="0" fontId="0" fillId="4" borderId="1" xfId="0" applyFill="1" applyBorder="1" applyAlignment="1">
      <alignment horizontal="center" wrapText="1"/>
    </xf>
    <xf numFmtId="0" fontId="0" fillId="0" borderId="0" xfId="0" applyAlignment="1">
      <alignment horizontal="center"/>
    </xf>
    <xf numFmtId="0" fontId="0" fillId="0" borderId="1" xfId="0" applyBorder="1" applyAlignment="1">
      <alignment horizontal="center"/>
    </xf>
    <xf numFmtId="0" fontId="0" fillId="0" borderId="1" xfId="0" applyBorder="1" applyAlignment="1">
      <alignment horizontal="center" wrapText="1"/>
    </xf>
    <xf numFmtId="0" fontId="0" fillId="5" borderId="1" xfId="0" applyFill="1" applyBorder="1" applyAlignment="1">
      <alignment horizontal="center" vertical="center"/>
    </xf>
    <xf numFmtId="0" fontId="0" fillId="5" borderId="1" xfId="0" applyFill="1" applyBorder="1"/>
    <xf numFmtId="0" fontId="3" fillId="0" borderId="1" xfId="0" applyFont="1" applyBorder="1" applyAlignment="1">
      <alignment horizontal="center"/>
    </xf>
    <xf numFmtId="164" fontId="3" fillId="0" borderId="1" xfId="0" applyNumberFormat="1" applyFont="1" applyBorder="1"/>
    <xf numFmtId="164" fontId="3" fillId="0" borderId="1" xfId="0" applyNumberFormat="1" applyFont="1" applyBorder="1" applyAlignment="1">
      <alignment horizontal="center" vertical="center"/>
    </xf>
    <xf numFmtId="164" fontId="0" fillId="6" borderId="1" xfId="1" applyNumberFormat="1" applyFont="1" applyFill="1" applyBorder="1"/>
    <xf numFmtId="164" fontId="0" fillId="0" borderId="1" xfId="1" applyNumberFormat="1" applyFont="1" applyBorder="1" applyAlignment="1" applyProtection="1">
      <alignment horizontal="center" vertical="center"/>
      <protection locked="0"/>
    </xf>
    <xf numFmtId="0" fontId="0" fillId="3" borderId="1" xfId="0" applyFont="1" applyFill="1" applyBorder="1" applyAlignment="1" applyProtection="1">
      <alignment horizontal="center" wrapText="1"/>
      <protection locked="0"/>
    </xf>
    <xf numFmtId="0" fontId="0" fillId="0" borderId="0" xfId="0" applyAlignment="1" applyProtection="1">
      <alignment horizont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14" fontId="0" fillId="0" borderId="1" xfId="0" applyNumberFormat="1" applyBorder="1" applyAlignment="1" applyProtection="1">
      <alignment horizontal="center" vertical="center"/>
      <protection locked="0"/>
    </xf>
    <xf numFmtId="164" fontId="0" fillId="2" borderId="1" xfId="1" applyNumberFormat="1" applyFont="1" applyFill="1" applyBorder="1" applyAlignment="1" applyProtection="1">
      <alignment horizontal="center" vertical="center"/>
      <protection locked="0"/>
    </xf>
    <xf numFmtId="9" fontId="0" fillId="0" borderId="1" xfId="2" applyFont="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right"/>
      <protection locked="0"/>
    </xf>
    <xf numFmtId="0" fontId="4" fillId="0" borderId="0" xfId="0" applyFont="1" applyProtection="1">
      <protection locked="0"/>
    </xf>
    <xf numFmtId="164" fontId="4" fillId="0" borderId="0" xfId="1" applyNumberFormat="1" applyFont="1" applyProtection="1">
      <protection locked="0"/>
    </xf>
    <xf numFmtId="164" fontId="0" fillId="0" borderId="1" xfId="1" applyNumberFormat="1" applyFont="1" applyBorder="1" applyAlignment="1" applyProtection="1">
      <alignment horizontal="center" vertical="center"/>
    </xf>
    <xf numFmtId="9" fontId="0" fillId="0" borderId="1" xfId="2" applyFont="1" applyBorder="1" applyAlignment="1" applyProtection="1">
      <alignment horizontal="center" vertical="center"/>
    </xf>
    <xf numFmtId="0" fontId="0" fillId="7" borderId="1" xfId="0" applyFill="1" applyBorder="1" applyAlignment="1">
      <alignment horizontal="center" wrapText="1"/>
    </xf>
    <xf numFmtId="0" fontId="0" fillId="6" borderId="1" xfId="0" applyFill="1" applyBorder="1" applyAlignment="1">
      <alignment horizontal="center" vertical="center"/>
    </xf>
    <xf numFmtId="164" fontId="0" fillId="0" borderId="1" xfId="0" applyNumberFormat="1" applyBorder="1"/>
    <xf numFmtId="164" fontId="0" fillId="5" borderId="1" xfId="1" applyNumberFormat="1" applyFont="1" applyFill="1" applyBorder="1"/>
    <xf numFmtId="0" fontId="0" fillId="0" borderId="0" xfId="0" applyBorder="1" applyAlignment="1">
      <alignment horizontal="center" vertical="center"/>
    </xf>
    <xf numFmtId="164" fontId="0" fillId="0" borderId="0" xfId="1" applyNumberFormat="1" applyFont="1" applyBorder="1"/>
    <xf numFmtId="164" fontId="3" fillId="0" borderId="0" xfId="0" applyNumberFormat="1" applyFont="1" applyBorder="1"/>
    <xf numFmtId="164" fontId="0" fillId="0" borderId="0" xfId="1" applyNumberFormat="1" applyFont="1" applyBorder="1" applyAlignment="1">
      <alignment horizontal="center" vertical="center"/>
    </xf>
    <xf numFmtId="164" fontId="0" fillId="0" borderId="0" xfId="0" applyNumberFormat="1" applyBorder="1" applyAlignment="1">
      <alignment horizontal="center" vertical="center"/>
    </xf>
    <xf numFmtId="9" fontId="0" fillId="0" borderId="0" xfId="2" applyFont="1" applyBorder="1" applyAlignment="1">
      <alignment horizontal="center" vertical="center"/>
    </xf>
    <xf numFmtId="0" fontId="0" fillId="0" borderId="0" xfId="0" applyFill="1" applyBorder="1" applyAlignment="1">
      <alignment horizontal="center" vertical="center"/>
    </xf>
    <xf numFmtId="0" fontId="0" fillId="6" borderId="0" xfId="0" applyFill="1" applyBorder="1" applyAlignment="1">
      <alignment horizontal="center" vertical="center"/>
    </xf>
    <xf numFmtId="0" fontId="0" fillId="0" borderId="1" xfId="0" applyFill="1" applyBorder="1" applyAlignment="1">
      <alignment horizontal="center" vertical="center"/>
    </xf>
    <xf numFmtId="164" fontId="0" fillId="0" borderId="0" xfId="0" applyNumberFormat="1"/>
    <xf numFmtId="44" fontId="0" fillId="0" borderId="0" xfId="0" applyNumberFormat="1"/>
    <xf numFmtId="0" fontId="0" fillId="0" borderId="0" xfId="0" applyFont="1"/>
    <xf numFmtId="164" fontId="0" fillId="0" borderId="1" xfId="0" applyNumberFormat="1" applyFont="1" applyBorder="1"/>
    <xf numFmtId="164" fontId="0" fillId="7" borderId="1" xfId="1" applyNumberFormat="1" applyFont="1" applyFill="1" applyBorder="1" applyAlignment="1">
      <alignment horizontal="center" vertical="center"/>
    </xf>
    <xf numFmtId="164" fontId="0" fillId="0" borderId="0" xfId="0" applyNumberFormat="1" applyProtection="1">
      <protection locked="0"/>
    </xf>
    <xf numFmtId="0" fontId="6" fillId="0" borderId="0" xfId="0" applyFont="1"/>
    <xf numFmtId="10" fontId="5" fillId="9" borderId="2" xfId="2" applyNumberFormat="1" applyFont="1" applyFill="1" applyBorder="1"/>
    <xf numFmtId="0" fontId="6" fillId="0" borderId="0" xfId="0" applyFont="1" applyAlignment="1">
      <alignment horizontal="left"/>
    </xf>
    <xf numFmtId="165" fontId="6" fillId="0" borderId="0" xfId="0" applyNumberFormat="1" applyFont="1"/>
    <xf numFmtId="10" fontId="5" fillId="0" borderId="2" xfId="2" applyNumberFormat="1" applyFont="1" applyBorder="1"/>
    <xf numFmtId="0" fontId="6" fillId="0" borderId="0" xfId="0" applyFont="1" applyAlignment="1">
      <alignment horizontal="left" indent="1"/>
    </xf>
    <xf numFmtId="10" fontId="6" fillId="0" borderId="0" xfId="2" applyNumberFormat="1" applyFont="1"/>
    <xf numFmtId="10" fontId="5" fillId="9" borderId="3" xfId="2" applyNumberFormat="1" applyFont="1" applyFill="1" applyBorder="1"/>
    <xf numFmtId="0" fontId="6" fillId="0" borderId="0" xfId="0" pivotButton="1" applyFont="1"/>
    <xf numFmtId="44" fontId="0" fillId="0" borderId="0" xfId="0" applyNumberFormat="1" applyProtection="1">
      <protection locked="0"/>
    </xf>
    <xf numFmtId="165" fontId="5" fillId="0" borderId="2" xfId="0" applyNumberFormat="1" applyFont="1" applyBorder="1"/>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14" fontId="2" fillId="0" borderId="1" xfId="0" applyNumberFormat="1" applyFont="1" applyBorder="1" applyAlignment="1" applyProtection="1">
      <alignment horizontal="center" vertical="center"/>
      <protection locked="0"/>
    </xf>
    <xf numFmtId="0" fontId="0" fillId="10" borderId="1" xfId="0" applyFont="1" applyFill="1" applyBorder="1" applyAlignment="1">
      <alignment horizontal="center" wrapText="1"/>
    </xf>
    <xf numFmtId="0" fontId="0" fillId="10" borderId="1" xfId="0" applyFill="1" applyBorder="1" applyAlignment="1">
      <alignment horizontal="center" wrapText="1"/>
    </xf>
    <xf numFmtId="0" fontId="0" fillId="7" borderId="1" xfId="0" applyFont="1" applyFill="1" applyBorder="1" applyAlignment="1" applyProtection="1">
      <alignment horizontal="center" vertical="center" wrapText="1"/>
      <protection locked="0"/>
    </xf>
    <xf numFmtId="0" fontId="0" fillId="7" borderId="1" xfId="0" applyFill="1" applyBorder="1" applyAlignment="1" applyProtection="1">
      <alignment horizontal="center" vertical="center" wrapText="1"/>
      <protection locked="0"/>
    </xf>
    <xf numFmtId="0" fontId="0" fillId="7" borderId="1" xfId="0" applyFill="1" applyBorder="1" applyAlignment="1" applyProtection="1">
      <alignment horizontal="center" vertical="center"/>
      <protection locked="0"/>
    </xf>
    <xf numFmtId="14" fontId="0" fillId="7" borderId="1" xfId="0" applyNumberFormat="1" applyFill="1" applyBorder="1" applyAlignment="1" applyProtection="1">
      <alignment horizontal="center" vertical="center"/>
      <protection locked="0"/>
    </xf>
    <xf numFmtId="164" fontId="0" fillId="7" borderId="1" xfId="1" applyNumberFormat="1" applyFont="1" applyFill="1" applyBorder="1" applyAlignment="1" applyProtection="1">
      <alignment horizontal="center" vertical="center"/>
      <protection locked="0"/>
    </xf>
    <xf numFmtId="0" fontId="0" fillId="7" borderId="0" xfId="0" applyFill="1" applyProtection="1">
      <protection locked="0"/>
    </xf>
    <xf numFmtId="164" fontId="1" fillId="7" borderId="1" xfId="1" applyNumberFormat="1" applyFont="1" applyFill="1" applyBorder="1" applyAlignment="1" applyProtection="1">
      <alignment horizontal="center" vertical="center"/>
      <protection locked="0"/>
    </xf>
    <xf numFmtId="0" fontId="0" fillId="0" borderId="1" xfId="0" applyFont="1" applyBorder="1" applyAlignment="1" applyProtection="1">
      <alignment horizontal="center" vertical="center" wrapText="1"/>
      <protection locked="0"/>
    </xf>
    <xf numFmtId="0" fontId="0" fillId="7" borderId="1" xfId="0"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14" fontId="0" fillId="7" borderId="1" xfId="0" applyNumberFormat="1" applyFont="1" applyFill="1" applyBorder="1" applyAlignment="1" applyProtection="1">
      <alignment horizontal="center" vertical="center"/>
      <protection locked="0"/>
    </xf>
    <xf numFmtId="0" fontId="7" fillId="0" borderId="0" xfId="4" applyProtection="1">
      <protection locked="0"/>
    </xf>
    <xf numFmtId="0" fontId="8" fillId="11" borderId="4" xfId="0" applyFont="1" applyFill="1" applyBorder="1" applyAlignment="1">
      <alignment horizontal="center" vertical="center"/>
    </xf>
    <xf numFmtId="0" fontId="8" fillId="11" borderId="5" xfId="0" applyFont="1" applyFill="1" applyBorder="1" applyAlignment="1">
      <alignment horizontal="center" vertical="center"/>
    </xf>
    <xf numFmtId="0" fontId="9" fillId="11" borderId="5" xfId="0" applyFont="1" applyFill="1" applyBorder="1" applyAlignment="1">
      <alignment vertical="center" wrapText="1"/>
    </xf>
    <xf numFmtId="0" fontId="8" fillId="0" borderId="7" xfId="0" applyFont="1" applyBorder="1" applyAlignment="1">
      <alignment horizontal="center" vertical="center" wrapText="1"/>
    </xf>
    <xf numFmtId="168" fontId="9" fillId="0" borderId="7" xfId="5" applyNumberFormat="1" applyFont="1" applyFill="1" applyBorder="1" applyAlignment="1">
      <alignment vertical="center"/>
    </xf>
    <xf numFmtId="0" fontId="8" fillId="0" borderId="10" xfId="0" applyFont="1" applyBorder="1" applyAlignment="1">
      <alignment horizontal="center" vertical="center" wrapText="1"/>
    </xf>
    <xf numFmtId="168" fontId="9" fillId="0" borderId="10" xfId="5" applyNumberFormat="1" applyFont="1" applyFill="1" applyBorder="1" applyAlignment="1">
      <alignment vertical="center"/>
    </xf>
    <xf numFmtId="0" fontId="8" fillId="11" borderId="5" xfId="0" applyFont="1" applyFill="1" applyBorder="1" applyAlignment="1">
      <alignment horizontal="center" vertical="center" wrapText="1"/>
    </xf>
    <xf numFmtId="168" fontId="9" fillId="11" borderId="5" xfId="5" applyNumberFormat="1" applyFont="1" applyFill="1" applyBorder="1" applyAlignment="1">
      <alignment vertical="center"/>
    </xf>
    <xf numFmtId="0" fontId="0" fillId="11" borderId="1" xfId="0" applyFont="1" applyFill="1" applyBorder="1" applyAlignment="1" applyProtection="1">
      <alignment horizontal="center" wrapText="1"/>
      <protection locked="0"/>
    </xf>
    <xf numFmtId="0" fontId="0" fillId="0" borderId="1" xfId="0" applyFont="1" applyFill="1" applyBorder="1" applyAlignment="1" applyProtection="1">
      <alignment horizontal="center"/>
      <protection locked="0"/>
    </xf>
    <xf numFmtId="0" fontId="0" fillId="12" borderId="1" xfId="0" applyFont="1" applyFill="1" applyBorder="1" applyAlignment="1" applyProtection="1">
      <alignment horizontal="center" wrapText="1"/>
      <protection locked="0"/>
    </xf>
    <xf numFmtId="0" fontId="3" fillId="12" borderId="1" xfId="0" applyFont="1" applyFill="1" applyBorder="1" applyAlignment="1" applyProtection="1">
      <alignment horizontal="center" wrapText="1"/>
      <protection locked="0"/>
    </xf>
    <xf numFmtId="164" fontId="0" fillId="0" borderId="0" xfId="1" applyNumberFormat="1" applyFont="1" applyBorder="1" applyAlignment="1" applyProtection="1">
      <alignment horizontal="center" vertical="center"/>
      <protection locked="0"/>
    </xf>
    <xf numFmtId="9" fontId="0" fillId="0" borderId="0" xfId="2" applyFont="1" applyBorder="1" applyAlignment="1" applyProtection="1">
      <alignment horizontal="center" vertical="center"/>
    </xf>
    <xf numFmtId="164" fontId="0" fillId="0" borderId="0" xfId="1" applyNumberFormat="1" applyFont="1" applyBorder="1" applyAlignment="1" applyProtection="1">
      <alignment horizontal="center" vertical="center"/>
    </xf>
    <xf numFmtId="0" fontId="0" fillId="0" borderId="0" xfId="0" applyFill="1" applyBorder="1" applyAlignment="1">
      <alignment horizontal="left" vertical="center"/>
    </xf>
    <xf numFmtId="0" fontId="0" fillId="0" borderId="12" xfId="0" applyFill="1" applyBorder="1" applyAlignment="1">
      <alignment horizontal="center" vertical="center"/>
    </xf>
    <xf numFmtId="164" fontId="0" fillId="0" borderId="12" xfId="0" applyNumberFormat="1" applyBorder="1"/>
    <xf numFmtId="164" fontId="0" fillId="0" borderId="12" xfId="0" applyNumberFormat="1" applyFont="1" applyBorder="1"/>
    <xf numFmtId="9" fontId="0" fillId="0" borderId="12" xfId="0" applyNumberFormat="1" applyBorder="1" applyAlignment="1">
      <alignment horizontal="center" vertical="center"/>
    </xf>
    <xf numFmtId="164" fontId="0" fillId="0" borderId="12" xfId="1" applyNumberFormat="1" applyFont="1" applyBorder="1" applyAlignment="1">
      <alignment horizontal="center" vertical="center"/>
    </xf>
    <xf numFmtId="9" fontId="0" fillId="0" borderId="12" xfId="2" applyFont="1" applyBorder="1" applyAlignment="1">
      <alignment horizontal="center" vertical="center"/>
    </xf>
    <xf numFmtId="0" fontId="0" fillId="0" borderId="11" xfId="0" applyBorder="1" applyAlignment="1">
      <alignment horizontal="center" vertical="center"/>
    </xf>
    <xf numFmtId="164" fontId="0" fillId="0" borderId="11" xfId="1" applyNumberFormat="1" applyFont="1" applyBorder="1"/>
    <xf numFmtId="164" fontId="0" fillId="0" borderId="11" xfId="0" applyNumberFormat="1" applyFont="1" applyBorder="1"/>
    <xf numFmtId="164" fontId="0" fillId="0" borderId="11" xfId="1" applyNumberFormat="1" applyFont="1" applyBorder="1" applyAlignment="1">
      <alignment horizontal="center" vertical="center"/>
    </xf>
    <xf numFmtId="9" fontId="0" fillId="0" borderId="11" xfId="0" applyNumberFormat="1" applyBorder="1" applyAlignment="1">
      <alignment horizontal="center" vertical="center"/>
    </xf>
    <xf numFmtId="164" fontId="0" fillId="0" borderId="11" xfId="0" applyNumberFormat="1" applyBorder="1" applyAlignment="1">
      <alignment horizontal="center" vertical="center"/>
    </xf>
    <xf numFmtId="9" fontId="0" fillId="0" borderId="11" xfId="2" applyFont="1" applyBorder="1" applyAlignment="1">
      <alignment horizontal="center" vertical="center"/>
    </xf>
    <xf numFmtId="164" fontId="0" fillId="7" borderId="11" xfId="1" applyNumberFormat="1" applyFont="1" applyFill="1" applyBorder="1" applyAlignment="1">
      <alignment horizontal="center" vertical="center"/>
    </xf>
    <xf numFmtId="0" fontId="0" fillId="13" borderId="0" xfId="0" applyFill="1" applyAlignment="1">
      <alignment horizontal="center"/>
    </xf>
    <xf numFmtId="0" fontId="0" fillId="13" borderId="0" xfId="0" applyFill="1"/>
    <xf numFmtId="0" fontId="4" fillId="0" borderId="0" xfId="0" applyFont="1" applyAlignment="1" applyProtection="1">
      <alignment horizontal="center"/>
      <protection locked="0"/>
    </xf>
    <xf numFmtId="9" fontId="0" fillId="0" borderId="0" xfId="2" applyFont="1" applyBorder="1" applyAlignment="1" applyProtection="1">
      <alignment horizontal="center" vertical="center"/>
      <protection locked="0"/>
    </xf>
    <xf numFmtId="164" fontId="0" fillId="0" borderId="1" xfId="1" applyNumberFormat="1" applyFont="1" applyFill="1" applyBorder="1" applyAlignment="1" applyProtection="1">
      <alignment horizontal="center" vertical="center"/>
      <protection locked="0"/>
    </xf>
    <xf numFmtId="9" fontId="0" fillId="0" borderId="1" xfId="2" applyFont="1" applyFill="1" applyBorder="1" applyAlignment="1" applyProtection="1">
      <alignment horizontal="center" vertical="center"/>
    </xf>
    <xf numFmtId="164" fontId="0" fillId="0" borderId="1" xfId="1" applyNumberFormat="1" applyFont="1" applyFill="1" applyBorder="1" applyAlignment="1" applyProtection="1">
      <alignment horizontal="center" vertical="center"/>
    </xf>
    <xf numFmtId="164" fontId="1" fillId="7" borderId="13" xfId="1" applyNumberFormat="1" applyFont="1" applyFill="1" applyBorder="1" applyAlignment="1" applyProtection="1">
      <alignment horizontal="center" vertical="center"/>
      <protection locked="0"/>
    </xf>
    <xf numFmtId="9" fontId="0" fillId="0" borderId="14" xfId="2" applyFont="1" applyBorder="1" applyAlignment="1" applyProtection="1">
      <alignment horizontal="center" vertical="center"/>
    </xf>
    <xf numFmtId="9" fontId="0" fillId="0" borderId="15" xfId="2" applyFont="1" applyBorder="1" applyAlignment="1" applyProtection="1">
      <alignment horizontal="center" vertical="center"/>
    </xf>
    <xf numFmtId="164" fontId="0" fillId="0" borderId="16" xfId="1" applyNumberFormat="1" applyFont="1" applyBorder="1" applyAlignment="1" applyProtection="1">
      <alignment horizontal="center" vertical="center"/>
      <protection locked="0"/>
    </xf>
    <xf numFmtId="164" fontId="0" fillId="2" borderId="16" xfId="1" applyNumberFormat="1" applyFont="1" applyFill="1" applyBorder="1" applyAlignment="1" applyProtection="1">
      <alignment horizontal="center" vertical="center"/>
      <protection locked="0"/>
    </xf>
    <xf numFmtId="164" fontId="0" fillId="0" borderId="12" xfId="1" applyNumberFormat="1" applyFont="1" applyBorder="1" applyAlignment="1" applyProtection="1">
      <alignment horizontal="center" vertical="center"/>
      <protection locked="0"/>
    </xf>
    <xf numFmtId="164" fontId="0" fillId="2" borderId="12" xfId="1" applyNumberFormat="1" applyFont="1" applyFill="1" applyBorder="1" applyAlignment="1" applyProtection="1">
      <alignment horizontal="center" vertical="center"/>
      <protection locked="0"/>
    </xf>
    <xf numFmtId="164" fontId="0" fillId="0" borderId="17" xfId="1" applyNumberFormat="1" applyFont="1" applyBorder="1" applyAlignment="1" applyProtection="1">
      <alignment horizontal="center" vertical="center"/>
      <protection locked="0"/>
    </xf>
    <xf numFmtId="164" fontId="0" fillId="2" borderId="18" xfId="1" applyNumberFormat="1" applyFont="1" applyFill="1" applyBorder="1" applyAlignment="1" applyProtection="1">
      <alignment horizontal="center" vertical="center"/>
      <protection locked="0"/>
    </xf>
    <xf numFmtId="164" fontId="0" fillId="0" borderId="19" xfId="1" applyNumberFormat="1" applyFont="1" applyBorder="1" applyAlignment="1" applyProtection="1">
      <alignment horizontal="center" vertical="center"/>
      <protection locked="0"/>
    </xf>
    <xf numFmtId="164" fontId="0" fillId="2" borderId="20" xfId="1" applyNumberFormat="1" applyFont="1" applyFill="1" applyBorder="1" applyAlignment="1" applyProtection="1">
      <alignment horizontal="center" vertical="center"/>
      <protection locked="0"/>
    </xf>
    <xf numFmtId="0" fontId="8" fillId="0" borderId="6" xfId="0" applyFont="1" applyBorder="1" applyAlignment="1">
      <alignment horizontal="center" vertical="center"/>
    </xf>
    <xf numFmtId="0" fontId="5" fillId="8" borderId="0" xfId="0" applyFont="1" applyFill="1" applyAlignment="1">
      <alignment horizontal="center"/>
    </xf>
    <xf numFmtId="0" fontId="8" fillId="0" borderId="8" xfId="0" applyFont="1" applyBorder="1" applyAlignment="1">
      <alignment horizontal="center" vertical="center"/>
    </xf>
    <xf numFmtId="0" fontId="8" fillId="0" borderId="9" xfId="0" applyFont="1" applyBorder="1" applyAlignment="1">
      <alignment horizontal="center" vertical="center"/>
    </xf>
    <xf numFmtId="0" fontId="8" fillId="0" borderId="6" xfId="0" applyFont="1" applyBorder="1" applyAlignment="1">
      <alignment horizontal="center" vertical="center"/>
    </xf>
  </cellXfs>
  <cellStyles count="6">
    <cellStyle name="Comma" xfId="5" builtinId="3"/>
    <cellStyle name="Currency" xfId="1" builtinId="4"/>
    <cellStyle name="Hyperlink" xfId="4" builtinId="8"/>
    <cellStyle name="LV_DataDefault" xfId="3"/>
    <cellStyle name="Normal" xfId="0" builtinId="0"/>
    <cellStyle name="Percent" xfId="2" builtinId="5"/>
  </cellStyles>
  <dxfs count="9">
    <dxf>
      <font>
        <sz val="9"/>
      </font>
    </dxf>
    <dxf>
      <font>
        <sz val="9"/>
      </font>
    </dxf>
    <dxf>
      <font>
        <sz val="9"/>
      </font>
    </dxf>
    <dxf>
      <font>
        <sz val="9"/>
      </font>
    </dxf>
    <dxf>
      <font>
        <sz val="9"/>
      </font>
    </dxf>
    <dxf>
      <font>
        <sz val="9"/>
      </font>
    </dxf>
    <dxf>
      <font>
        <sz val="9"/>
      </font>
    </dxf>
    <dxf>
      <numFmt numFmtId="165" formatCode="_([$USD]\ * #,##0.00_);_([$USD]\ * \(#,##0.00\);_([$USD]\ * &quot;-&quot;??_);_(@_)"/>
    </dxf>
    <dxf>
      <numFmt numFmtId="165" formatCode="_([$USD]\ * #,##0.00_);_([$USD]\ * \(#,##0.00\);_([$USD]\ * &quot;-&quot;??_);_(@_)"/>
    </dxf>
  </dxfs>
  <tableStyles count="0" defaultTableStyle="TableStyleMedium2" defaultPivotStyle="PivotStyleLight16"/>
  <colors>
    <mruColors>
      <color rgb="FFCCCC00"/>
      <color rgb="FFFF9900"/>
      <color rgb="FFFF0000"/>
      <color rgb="FFFF3300"/>
      <color rgb="FF663300"/>
      <color rgb="FF993300"/>
      <color rgb="FFCC6600"/>
      <color rgb="FFCC9900"/>
      <color rgb="FF99CC00"/>
      <color rgb="FF66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APAC CL YTD Jan</a:t>
            </a:r>
            <a:r>
              <a:rPr lang="en-US" baseline="0"/>
              <a:t> CMI</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APAC!$B$23</c:f>
              <c:strCache>
                <c:ptCount val="1"/>
                <c:pt idx="0">
                  <c:v>YTD savings</c:v>
                </c:pt>
              </c:strCache>
            </c:strRef>
          </c:tx>
          <c:spPr>
            <a:solidFill>
              <a:schemeClr val="accent2"/>
            </a:solidFill>
            <a:ln>
              <a:noFill/>
            </a:ln>
            <a:effectLst/>
          </c:spPr>
          <c:invertIfNegative val="0"/>
          <c:cat>
            <c:strRef>
              <c:f>APAC!$C$21:$N$21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APAC!$C$23:$N$23</c:f>
              <c:numCache>
                <c:formatCode>_("$"* #,##0_);_("$"* \(#,##0\);_("$"* "-"??_);_(@_)</c:formatCode>
                <c:ptCount val="12"/>
                <c:pt idx="0">
                  <c:v>0</c:v>
                </c:pt>
                <c:pt idx="1">
                  <c:v>0</c:v>
                </c:pt>
                <c:pt idx="2">
                  <c:v>0</c:v>
                </c:pt>
                <c:pt idx="3">
                  <c:v>0</c:v>
                </c:pt>
                <c:pt idx="4">
                  <c:v>0</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0-B1D7-4B82-89DC-759559D573D5}"/>
            </c:ext>
          </c:extLst>
        </c:ser>
        <c:dLbls>
          <c:showLegendKey val="0"/>
          <c:showVal val="0"/>
          <c:showCatName val="0"/>
          <c:showSerName val="0"/>
          <c:showPercent val="0"/>
          <c:showBubbleSize val="0"/>
        </c:dLbls>
        <c:gapWidth val="219"/>
        <c:axId val="-1438175864"/>
        <c:axId val="-1438175288"/>
      </c:barChart>
      <c:lineChart>
        <c:grouping val="standard"/>
        <c:varyColors val="0"/>
        <c:ser>
          <c:idx val="0"/>
          <c:order val="0"/>
          <c:tx>
            <c:strRef>
              <c:f>APAC!$B$22</c:f>
              <c:strCache>
                <c:ptCount val="1"/>
                <c:pt idx="0">
                  <c:v>YTD Goal</c:v>
                </c:pt>
              </c:strCache>
            </c:strRef>
          </c:tx>
          <c:spPr>
            <a:ln w="28575" cap="rnd">
              <a:solidFill>
                <a:schemeClr val="accent1"/>
              </a:solidFill>
              <a:round/>
            </a:ln>
            <a:effectLst/>
          </c:spPr>
          <c:marker>
            <c:symbol val="none"/>
          </c:marker>
          <c:cat>
            <c:strRef>
              <c:f>APAC!$C$21:$N$21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APAC!$C$22:$N$22</c:f>
              <c:numCache>
                <c:formatCode>_("$"* #,##0_);_("$"* \(#,##0\);_("$"* "-"??_);_(@_)</c:formatCode>
                <c:ptCount val="12"/>
                <c:pt idx="0">
                  <c:v>124543.91666666667</c:v>
                </c:pt>
                <c:pt idx="1">
                  <c:v>249087.83333333334</c:v>
                </c:pt>
                <c:pt idx="2">
                  <c:v>373631.75</c:v>
                </c:pt>
                <c:pt idx="3">
                  <c:v>498175.66666666669</c:v>
                </c:pt>
                <c:pt idx="4">
                  <c:v>622719.58333333337</c:v>
                </c:pt>
                <c:pt idx="5">
                  <c:v>747263.5</c:v>
                </c:pt>
                <c:pt idx="6">
                  <c:v>871807.41666666663</c:v>
                </c:pt>
                <c:pt idx="7">
                  <c:v>996351.33333333326</c:v>
                </c:pt>
                <c:pt idx="8">
                  <c:v>1120895.25</c:v>
                </c:pt>
                <c:pt idx="9">
                  <c:v>1245439.1666666667</c:v>
                </c:pt>
                <c:pt idx="10">
                  <c:v>1369983.0833333335</c:v>
                </c:pt>
                <c:pt idx="11">
                  <c:v>1494527.0000000002</c:v>
                </c:pt>
              </c:numCache>
            </c:numRef>
          </c:val>
          <c:smooth val="0"/>
          <c:extLst xmlns:c16r2="http://schemas.microsoft.com/office/drawing/2015/06/chart">
            <c:ext xmlns:c16="http://schemas.microsoft.com/office/drawing/2014/chart" uri="{C3380CC4-5D6E-409C-BE32-E72D297353CC}">
              <c16:uniqueId val="{00000001-B1D7-4B82-89DC-759559D573D5}"/>
            </c:ext>
          </c:extLst>
        </c:ser>
        <c:dLbls>
          <c:showLegendKey val="0"/>
          <c:showVal val="0"/>
          <c:showCatName val="0"/>
          <c:showSerName val="0"/>
          <c:showPercent val="0"/>
          <c:showBubbleSize val="0"/>
        </c:dLbls>
        <c:marker val="1"/>
        <c:smooth val="0"/>
        <c:axId val="-1438175864"/>
        <c:axId val="-1438175288"/>
      </c:lineChart>
      <c:catAx>
        <c:axId val="-1438175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8175288"/>
        <c:crosses val="autoZero"/>
        <c:auto val="1"/>
        <c:lblAlgn val="ctr"/>
        <c:lblOffset val="100"/>
        <c:noMultiLvlLbl val="0"/>
      </c:catAx>
      <c:valAx>
        <c:axId val="-143817528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8175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APAC CL YTD</a:t>
            </a:r>
            <a:r>
              <a:rPr lang="en-US" baseline="0"/>
              <a:t> Jan</a:t>
            </a:r>
            <a:r>
              <a:rPr lang="en-US"/>
              <a:t> Cost</a:t>
            </a:r>
            <a:r>
              <a:rPr lang="en-US" baseline="0"/>
              <a:t> Savings</a:t>
            </a:r>
            <a:r>
              <a:rPr lang="en-US"/>
              <a:t>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APAC!$C$43</c:f>
              <c:strCache>
                <c:ptCount val="1"/>
                <c:pt idx="0">
                  <c:v>YTD Goal</c:v>
                </c:pt>
              </c:strCache>
            </c:strRef>
          </c:tx>
          <c:spPr>
            <a:solidFill>
              <a:schemeClr val="accent1"/>
            </a:solidFill>
            <a:ln>
              <a:noFill/>
            </a:ln>
            <a:effectLst/>
          </c:spPr>
          <c:invertIfNegative val="0"/>
          <c:cat>
            <c:strRef>
              <c:f>APAC!$B$44:$B$53</c:f>
              <c:strCache>
                <c:ptCount val="10"/>
                <c:pt idx="0">
                  <c:v>AU</c:v>
                </c:pt>
                <c:pt idx="1">
                  <c:v>CN</c:v>
                </c:pt>
                <c:pt idx="2">
                  <c:v>HK</c:v>
                </c:pt>
                <c:pt idx="3">
                  <c:v>JP</c:v>
                </c:pt>
                <c:pt idx="4">
                  <c:v>KR</c:v>
                </c:pt>
                <c:pt idx="5">
                  <c:v>MY</c:v>
                </c:pt>
                <c:pt idx="6">
                  <c:v>PH</c:v>
                </c:pt>
                <c:pt idx="7">
                  <c:v>SG</c:v>
                </c:pt>
                <c:pt idx="8">
                  <c:v>TH</c:v>
                </c:pt>
                <c:pt idx="9">
                  <c:v>TW</c:v>
                </c:pt>
              </c:strCache>
            </c:strRef>
          </c:cat>
          <c:val>
            <c:numRef>
              <c:f>APAC!$C$44:$C$53</c:f>
              <c:numCache>
                <c:formatCode>_("$"* #,##0_);_("$"* \(#,##0\);_("$"* "-"??_);_(@_)</c:formatCode>
                <c:ptCount val="10"/>
                <c:pt idx="0">
                  <c:v>7610</c:v>
                </c:pt>
                <c:pt idx="1">
                  <c:v>17270.333333333332</c:v>
                </c:pt>
                <c:pt idx="2">
                  <c:v>6854.916666666667</c:v>
                </c:pt>
                <c:pt idx="3">
                  <c:v>24369.833333333332</c:v>
                </c:pt>
                <c:pt idx="4">
                  <c:v>7307.916666666667</c:v>
                </c:pt>
                <c:pt idx="5">
                  <c:v>1379.5</c:v>
                </c:pt>
                <c:pt idx="6">
                  <c:v>1384.3333333333333</c:v>
                </c:pt>
                <c:pt idx="7">
                  <c:v>23278.583333333332</c:v>
                </c:pt>
                <c:pt idx="8">
                  <c:v>7176.75</c:v>
                </c:pt>
                <c:pt idx="9">
                  <c:v>27911.75</c:v>
                </c:pt>
              </c:numCache>
            </c:numRef>
          </c:val>
          <c:extLst xmlns:c16r2="http://schemas.microsoft.com/office/drawing/2015/06/chart">
            <c:ext xmlns:c16="http://schemas.microsoft.com/office/drawing/2014/chart" uri="{C3380CC4-5D6E-409C-BE32-E72D297353CC}">
              <c16:uniqueId val="{00000000-1009-440A-9C6B-D55117D84627}"/>
            </c:ext>
          </c:extLst>
        </c:ser>
        <c:ser>
          <c:idx val="1"/>
          <c:order val="1"/>
          <c:tx>
            <c:strRef>
              <c:f>APAC!$D$43</c:f>
              <c:strCache>
                <c:ptCount val="1"/>
                <c:pt idx="0">
                  <c:v>YTD Act savings</c:v>
                </c:pt>
              </c:strCache>
            </c:strRef>
          </c:tx>
          <c:spPr>
            <a:solidFill>
              <a:schemeClr val="accent2"/>
            </a:solidFill>
            <a:ln>
              <a:noFill/>
            </a:ln>
            <a:effectLst/>
          </c:spPr>
          <c:invertIfNegative val="0"/>
          <c:cat>
            <c:strRef>
              <c:f>APAC!$B$44:$B$53</c:f>
              <c:strCache>
                <c:ptCount val="10"/>
                <c:pt idx="0">
                  <c:v>AU</c:v>
                </c:pt>
                <c:pt idx="1">
                  <c:v>CN</c:v>
                </c:pt>
                <c:pt idx="2">
                  <c:v>HK</c:v>
                </c:pt>
                <c:pt idx="3">
                  <c:v>JP</c:v>
                </c:pt>
                <c:pt idx="4">
                  <c:v>KR</c:v>
                </c:pt>
                <c:pt idx="5">
                  <c:v>MY</c:v>
                </c:pt>
                <c:pt idx="6">
                  <c:v>PH</c:v>
                </c:pt>
                <c:pt idx="7">
                  <c:v>SG</c:v>
                </c:pt>
                <c:pt idx="8">
                  <c:v>TH</c:v>
                </c:pt>
                <c:pt idx="9">
                  <c:v>TW</c:v>
                </c:pt>
              </c:strCache>
            </c:strRef>
          </c:cat>
          <c:val>
            <c:numRef>
              <c:f>APAC!$D$44:$D$53</c:f>
              <c:numCache>
                <c:formatCode>_("$"* #,##0_);_("$"* \(#,##0\);_("$"* "-"??_);_(@_)</c:formatCode>
                <c:ptCount val="10"/>
              </c:numCache>
            </c:numRef>
          </c:val>
          <c:extLst xmlns:c16r2="http://schemas.microsoft.com/office/drawing/2015/06/chart">
            <c:ext xmlns:c16="http://schemas.microsoft.com/office/drawing/2014/chart" uri="{C3380CC4-5D6E-409C-BE32-E72D297353CC}">
              <c16:uniqueId val="{00000001-1009-440A-9C6B-D55117D84627}"/>
            </c:ext>
          </c:extLst>
        </c:ser>
        <c:dLbls>
          <c:showLegendKey val="0"/>
          <c:showVal val="0"/>
          <c:showCatName val="0"/>
          <c:showSerName val="0"/>
          <c:showPercent val="0"/>
          <c:showBubbleSize val="0"/>
        </c:dLbls>
        <c:gapWidth val="219"/>
        <c:overlap val="-27"/>
        <c:axId val="-1347321272"/>
        <c:axId val="-1347320120"/>
      </c:barChart>
      <c:scatterChart>
        <c:scatterStyle val="lineMarker"/>
        <c:varyColors val="0"/>
        <c:ser>
          <c:idx val="2"/>
          <c:order val="2"/>
          <c:tx>
            <c:strRef>
              <c:f>APAC!$E$43</c:f>
              <c:strCache>
                <c:ptCount val="1"/>
                <c:pt idx="0">
                  <c:v>YTD % Eff</c:v>
                </c:pt>
              </c:strCache>
            </c:strRef>
          </c:tx>
          <c:spPr>
            <a:ln w="25400" cap="rnd">
              <a:noFill/>
              <a:round/>
            </a:ln>
            <a:effectLst/>
          </c:spPr>
          <c:marker>
            <c:symbol val="circle"/>
            <c:size val="5"/>
            <c:spPr>
              <a:solidFill>
                <a:srgbClr val="92D050"/>
              </a:solidFill>
              <a:ln w="9525">
                <a:solidFill>
                  <a:schemeClr val="accent3"/>
                </a:solidFill>
              </a:ln>
              <a:effectLst/>
            </c:spPr>
          </c:marker>
          <c:xVal>
            <c:strRef>
              <c:f>APAC!$B$44:$B$53</c:f>
              <c:strCache>
                <c:ptCount val="10"/>
                <c:pt idx="0">
                  <c:v>AU</c:v>
                </c:pt>
                <c:pt idx="1">
                  <c:v>CN</c:v>
                </c:pt>
                <c:pt idx="2">
                  <c:v>HK</c:v>
                </c:pt>
                <c:pt idx="3">
                  <c:v>JP</c:v>
                </c:pt>
                <c:pt idx="4">
                  <c:v>KR</c:v>
                </c:pt>
                <c:pt idx="5">
                  <c:v>MY</c:v>
                </c:pt>
                <c:pt idx="6">
                  <c:v>PH</c:v>
                </c:pt>
                <c:pt idx="7">
                  <c:v>SG</c:v>
                </c:pt>
                <c:pt idx="8">
                  <c:v>TH</c:v>
                </c:pt>
                <c:pt idx="9">
                  <c:v>TW</c:v>
                </c:pt>
              </c:strCache>
            </c:strRef>
          </c:xVal>
          <c:yVal>
            <c:numRef>
              <c:f>APAC!$E$44:$E$53</c:f>
              <c:numCache>
                <c:formatCode>0%</c:formatCode>
                <c:ptCount val="10"/>
              </c:numCache>
            </c:numRef>
          </c:yVal>
          <c:smooth val="0"/>
          <c:extLst xmlns:c16r2="http://schemas.microsoft.com/office/drawing/2015/06/chart">
            <c:ext xmlns:c16="http://schemas.microsoft.com/office/drawing/2014/chart" uri="{C3380CC4-5D6E-409C-BE32-E72D297353CC}">
              <c16:uniqueId val="{00000002-1009-440A-9C6B-D55117D84627}"/>
            </c:ext>
          </c:extLst>
        </c:ser>
        <c:dLbls>
          <c:showLegendKey val="0"/>
          <c:showVal val="0"/>
          <c:showCatName val="0"/>
          <c:showSerName val="0"/>
          <c:showPercent val="0"/>
          <c:showBubbleSize val="0"/>
        </c:dLbls>
        <c:axId val="-1347318968"/>
        <c:axId val="-1347319544"/>
      </c:scatterChart>
      <c:catAx>
        <c:axId val="-134732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320120"/>
        <c:crosses val="autoZero"/>
        <c:auto val="1"/>
        <c:lblAlgn val="ctr"/>
        <c:lblOffset val="100"/>
        <c:noMultiLvlLbl val="0"/>
      </c:catAx>
      <c:valAx>
        <c:axId val="-134732012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321272"/>
        <c:crosses val="autoZero"/>
        <c:crossBetween val="between"/>
      </c:valAx>
      <c:valAx>
        <c:axId val="-13473195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318968"/>
        <c:crosses val="max"/>
        <c:crossBetween val="midCat"/>
      </c:valAx>
      <c:valAx>
        <c:axId val="-1347318968"/>
        <c:scaling>
          <c:orientation val="minMax"/>
        </c:scaling>
        <c:delete val="1"/>
        <c:axPos val="b"/>
        <c:numFmt formatCode="General" sourceLinked="1"/>
        <c:majorTickMark val="out"/>
        <c:minorTickMark val="none"/>
        <c:tickLblPos val="nextTo"/>
        <c:crossAx val="-1347319544"/>
        <c:crosses val="autoZero"/>
        <c:crossBetween val="midCat"/>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xdr:twoCellAnchor editAs="oneCell">
    <xdr:from>
      <xdr:col>2</xdr:col>
      <xdr:colOff>0</xdr:colOff>
      <xdr:row>1</xdr:row>
      <xdr:rowOff>66675</xdr:rowOff>
    </xdr:from>
    <xdr:to>
      <xdr:col>4</xdr:col>
      <xdr:colOff>762000</xdr:colOff>
      <xdr:row>3</xdr:row>
      <xdr:rowOff>47625</xdr:rowOff>
    </xdr:to>
    <mc:AlternateContent xmlns:mc="http://schemas.openxmlformats.org/markup-compatibility/2006">
      <mc:Choice xmlns:a14="http://schemas.microsoft.com/office/drawing/2010/main" Requires="a14">
        <xdr:graphicFrame macro="">
          <xdr:nvGraphicFramePr>
            <xdr:cNvPr id="2" name="Quarter">
              <a:extLst>
                <a:ext uri="{FF2B5EF4-FFF2-40B4-BE49-F238E27FC236}">
                  <a16:creationId xmlns:a16="http://schemas.microsoft.com/office/drawing/2014/main" xmlns=""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2200275" y="219075"/>
              <a:ext cx="3524250" cy="285750"/>
            </a:xfrm>
            <a:prstGeom prst="rect">
              <a:avLst/>
            </a:prstGeom>
            <a:solidFill>
              <a:prstClr val="white"/>
            </a:solidFill>
            <a:ln w="1">
              <a:solidFill>
                <a:prstClr val="green"/>
              </a:solidFill>
            </a:ln>
          </xdr:spPr>
          <xdr:txBody>
            <a:bodyPr vertOverflow="clip" horzOverflow="clip"/>
            <a:lstStyle/>
            <a:p>
              <a:r>
                <a:rP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1</xdr:row>
      <xdr:rowOff>66675</xdr:rowOff>
    </xdr:from>
    <xdr:to>
      <xdr:col>4</xdr:col>
      <xdr:colOff>762000</xdr:colOff>
      <xdr:row>3</xdr:row>
      <xdr:rowOff>123825</xdr:rowOff>
    </xdr:to>
    <mc:AlternateContent xmlns:mc="http://schemas.openxmlformats.org/markup-compatibility/2006">
      <mc:Choice xmlns:a14="http://schemas.microsoft.com/office/drawing/2010/main" Requires="a14">
        <xdr:graphicFrame macro="">
          <xdr:nvGraphicFramePr>
            <xdr:cNvPr id="3" name="Quarter 1">
              <a:extLst>
                <a:ext uri="{FF2B5EF4-FFF2-40B4-BE49-F238E27FC236}">
                  <a16:creationId xmlns:a16="http://schemas.microsoft.com/office/drawing/2014/main" xmlns=""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dr:sp macro="" textlink="">
          <xdr:nvSpPr>
            <xdr:cNvPr id="0" name=""/>
            <xdr:cNvSpPr>
              <a:spLocks noTextEdit="1"/>
            </xdr:cNvSpPr>
          </xdr:nvSpPr>
          <xdr:spPr>
            <a:xfrm>
              <a:off x="2200275" y="219075"/>
              <a:ext cx="3524250" cy="361950"/>
            </a:xfrm>
            <a:prstGeom prst="rect">
              <a:avLst/>
            </a:prstGeom>
            <a:solidFill>
              <a:prstClr val="white"/>
            </a:solidFill>
            <a:ln w="1">
              <a:solidFill>
                <a:prstClr val="green"/>
              </a:solidFill>
            </a:ln>
          </xdr:spPr>
          <xdr:txBody>
            <a:bodyPr vertOverflow="clip" horzOverflow="clip"/>
            <a:lstStyle/>
            <a:p>
              <a:r>
                <a:rP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0</xdr:row>
      <xdr:rowOff>0</xdr:rowOff>
    </xdr:from>
    <xdr:to>
      <xdr:col>4</xdr:col>
      <xdr:colOff>762000</xdr:colOff>
      <xdr:row>2</xdr:row>
      <xdr:rowOff>57150</xdr:rowOff>
    </xdr:to>
    <mc:AlternateContent xmlns:mc="http://schemas.openxmlformats.org/markup-compatibility/2006">
      <mc:Choice xmlns:a14="http://schemas.microsoft.com/office/drawing/2010/main" Requires="a14">
        <xdr:graphicFrame macro="">
          <xdr:nvGraphicFramePr>
            <xdr:cNvPr id="4" name="Quarter 2">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Quarter 2"/>
            </a:graphicData>
          </a:graphic>
        </xdr:graphicFrame>
      </mc:Choice>
      <mc:Fallback>
        <xdr:sp macro="" textlink="">
          <xdr:nvSpPr>
            <xdr:cNvPr id="0" name=""/>
            <xdr:cNvSpPr>
              <a:spLocks noTextEdit="1"/>
            </xdr:cNvSpPr>
          </xdr:nvSpPr>
          <xdr:spPr>
            <a:xfrm>
              <a:off x="2200275" y="0"/>
              <a:ext cx="3524250" cy="361950"/>
            </a:xfrm>
            <a:prstGeom prst="rect">
              <a:avLst/>
            </a:prstGeom>
            <a:solidFill>
              <a:prstClr val="white"/>
            </a:solidFill>
            <a:ln w="1">
              <a:solidFill>
                <a:prstClr val="green"/>
              </a:solidFill>
            </a:ln>
          </xdr:spPr>
          <xdr:txBody>
            <a:bodyPr vertOverflow="clip" horzOverflow="clip"/>
            <a:lstStyle/>
            <a:p>
              <a:r>
                <a:rP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1</xdr:row>
      <xdr:rowOff>66675</xdr:rowOff>
    </xdr:from>
    <xdr:to>
      <xdr:col>4</xdr:col>
      <xdr:colOff>762000</xdr:colOff>
      <xdr:row>3</xdr:row>
      <xdr:rowOff>123825</xdr:rowOff>
    </xdr:to>
    <mc:AlternateContent xmlns:mc="http://schemas.openxmlformats.org/markup-compatibility/2006">
      <mc:Choice xmlns:a14="http://schemas.microsoft.com/office/drawing/2010/main" Requires="a14">
        <xdr:graphicFrame macro="">
          <xdr:nvGraphicFramePr>
            <xdr:cNvPr id="5" name="Quarter 3">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Quarter 3"/>
            </a:graphicData>
          </a:graphic>
        </xdr:graphicFrame>
      </mc:Choice>
      <mc:Fallback>
        <xdr:sp macro="" textlink="">
          <xdr:nvSpPr>
            <xdr:cNvPr id="0" name=""/>
            <xdr:cNvSpPr>
              <a:spLocks noTextEdit="1"/>
            </xdr:cNvSpPr>
          </xdr:nvSpPr>
          <xdr:spPr>
            <a:xfrm>
              <a:off x="2200275" y="219075"/>
              <a:ext cx="3524250" cy="361950"/>
            </a:xfrm>
            <a:prstGeom prst="rect">
              <a:avLst/>
            </a:prstGeom>
            <a:solidFill>
              <a:prstClr val="white"/>
            </a:solidFill>
            <a:ln w="1">
              <a:solidFill>
                <a:prstClr val="green"/>
              </a:solidFill>
            </a:ln>
          </xdr:spPr>
          <xdr:txBody>
            <a:bodyPr vertOverflow="clip" horzOverflow="clip"/>
            <a:lstStyle/>
            <a:p>
              <a:r>
                <a:rP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24</xdr:row>
      <xdr:rowOff>9525</xdr:rowOff>
    </xdr:from>
    <xdr:to>
      <xdr:col>7</xdr:col>
      <xdr:colOff>723900</xdr:colOff>
      <xdr:row>38</xdr:row>
      <xdr:rowOff>114300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42</xdr:row>
      <xdr:rowOff>19050</xdr:rowOff>
    </xdr:from>
    <xdr:to>
      <xdr:col>12</xdr:col>
      <xdr:colOff>76200</xdr:colOff>
      <xdr:row>55</xdr:row>
      <xdr:rowOff>95250</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ay Lan" id="{050B3F0B-4689-4D7C-82CE-430B0FCA9EAE}" userId="S::00000026966@ups.com::c8e85caf-4a15-4666-a726-63198b2e6591"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aee1cbb/AppData/Local/Microsoft/Windows/INetCache/Content.Outlook/EJRER2M6/CSI%20Transport%20AU.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sft8mzq/AppData/Local/Microsoft/Windows/INetCache/Content.Outlook/GI0WIAYV/CSI%20Transport%20AU.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10.114.52.186\augry%20share\Billing%20&amp;%20Accruals\2020\MONTHEND%20REPORTS\CMI%202020\CSI%20Transport%20AU.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aee1cbb/AppData/Local/Microsoft/Windows/INetCache/Content.Outlook/EJRER2M6/CSI%20Transport%20AU%20(002).XLSX"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Tang Jijing (YXZ0HMN)" refreshedDate="44016.600625810184" createdVersion="5" refreshedVersion="5" minRefreshableVersion="3" recordCount="168">
  <cacheSource type="worksheet">
    <worksheetSource name="Detail" r:id="rId2"/>
  </cacheSource>
  <cacheFields count="22">
    <cacheField name="L" numFmtId="0">
      <sharedItems containsString="0" containsBlank="1" containsNumber="1" containsInteger="1" minValue="1" maxValue="144"/>
    </cacheField>
    <cacheField name="#" numFmtId="0">
      <sharedItems containsString="0" containsBlank="1" containsNumber="1" containsInteger="1" minValue="1" maxValue="32"/>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64">
      <sharedItems containsString="0" containsBlank="1" containsNumber="1" minValue="2500" maxValue="3583.3333333333335"/>
    </cacheField>
    <cacheField name="Forecast Saving USD" numFmtId="164">
      <sharedItems containsSemiMixedTypes="0" containsString="0" containsNumber="1" minValue="0" maxValue="2092.6181073600005"/>
    </cacheField>
    <cacheField name="Actual Cost if no CSI USD" numFmtId="164">
      <sharedItems containsSemiMixedTypes="0" containsString="0" containsNumber="1" minValue="0" maxValue="63865.223751133803"/>
    </cacheField>
    <cacheField name="Actual Cost USD" numFmtId="164">
      <sharedItems containsSemiMixedTypes="0" containsString="0" containsNumber="1" minValue="0" maxValue="61793.661599999999"/>
    </cacheField>
    <cacheField name="Actual Saving USD" numFmtId="164">
      <sharedItems containsSemiMixedTypes="0" containsString="0" containsNumber="1" minValue="0" maxValue="3778.9935932584817"/>
    </cacheField>
    <cacheField name="Forecast Saving AUD" numFmtId="165">
      <sharedItems containsSemiMixedTypes="0" containsString="0" containsNumber="1" minValue="0" maxValue="3170.6334960000008"/>
    </cacheField>
    <cacheField name="Actual Cost if no CSI AUD" numFmtId="165">
      <sharedItems containsString="0" containsBlank="1" containsNumber="1" minValue="0" maxValue="96765.490532020907"/>
    </cacheField>
    <cacheField name="Actual Cost AUD" numFmtId="165">
      <sharedItems containsString="0" containsBlank="1" containsNumber="1" minValue="0" maxValue="93626.76"/>
    </cacheField>
    <cacheField name="Actual Saving AUD" numFmtId="165">
      <sharedItems containsString="0" containsBlank="1" containsNumber="1" minValue="0" maxValue="5725.7478685734568"/>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Tang Jijing (YXZ0HMN)" refreshedDate="43987.638718518516" createdVersion="5" refreshedVersion="5" minRefreshableVersion="3" recordCount="144">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64">
      <sharedItems containsString="0" containsBlank="1" containsNumber="1" minValue="2500" maxValue="3583.3333333333335"/>
    </cacheField>
    <cacheField name="Forecast Saving USD" numFmtId="164">
      <sharedItems containsSemiMixedTypes="0" containsString="0" containsNumber="1" minValue="0" maxValue="2092.6181073600005"/>
    </cacheField>
    <cacheField name="Actual Cost if no CSI USD" numFmtId="164">
      <sharedItems containsSemiMixedTypes="0" containsString="0" containsNumber="1" minValue="0" maxValue="55691.096596464282"/>
    </cacheField>
    <cacheField name="Actual Cost USD" numFmtId="164">
      <sharedItems containsSemiMixedTypes="0" containsString="0" containsNumber="1" minValue="0" maxValue="53700.616200000004"/>
    </cacheField>
    <cacheField name="Actual Saving USD" numFmtId="164">
      <sharedItems containsSemiMixedTypes="0" containsString="0" containsNumber="1" minValue="0" maxValue="3336.457635212656"/>
    </cacheField>
    <cacheField name="Forecast Saving AUD" numFmtId="165">
      <sharedItems containsSemiMixedTypes="0" containsString="0" containsNumber="1" minValue="0" maxValue="3170.6334960000008"/>
    </cacheField>
    <cacheField name="Actual Cost if no CSI AUD" numFmtId="165">
      <sharedItems containsString="0" containsBlank="1" containsNumber="1" minValue="0" maxValue="84380.449388582245"/>
    </cacheField>
    <cacheField name="Actual Cost AUD" numFmtId="165">
      <sharedItems containsString="0" containsBlank="1" containsNumber="1" minValue="0" maxValue="81364.570000000007"/>
    </cacheField>
    <cacheField name="Actual Saving AUD" numFmtId="165">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Tang Jijing (YXZ0HMN)" refreshedDate="43945.671540509262" createdVersion="5" refreshedVersion="5" minRefreshableVersion="3" recordCount="144">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64">
      <sharedItems containsString="0" containsBlank="1" containsNumber="1" minValue="2500" maxValue="3583.3333333333335"/>
    </cacheField>
    <cacheField name="Forecast Saving USD" numFmtId="164">
      <sharedItems containsSemiMixedTypes="0" containsString="0" containsNumber="1" minValue="0" maxValue="2092.6181073600005"/>
    </cacheField>
    <cacheField name="Actual Cost if no CSI USD" numFmtId="164">
      <sharedItems containsSemiMixedTypes="0" containsString="0" containsNumber="1" minValue="0" maxValue="55691.096596464282"/>
    </cacheField>
    <cacheField name="Actual Cost USD" numFmtId="164">
      <sharedItems containsSemiMixedTypes="0" containsString="0" containsNumber="1" minValue="0" maxValue="53700.616200000004"/>
    </cacheField>
    <cacheField name="Actual Saving USD" numFmtId="164">
      <sharedItems containsSemiMixedTypes="0" containsString="0" containsNumber="1" minValue="0" maxValue="3336.457635212656"/>
    </cacheField>
    <cacheField name="Forecast Saving AUD" numFmtId="165">
      <sharedItems containsSemiMixedTypes="0" containsString="0" containsNumber="1" minValue="0" maxValue="3170.6334960000008"/>
    </cacheField>
    <cacheField name="Actual Cost if no CSI AUD" numFmtId="165">
      <sharedItems containsString="0" containsBlank="1" containsNumber="1" minValue="0" maxValue="84380.449388582245"/>
    </cacheField>
    <cacheField name="Actual Cost AUD" numFmtId="165">
      <sharedItems containsString="0" containsBlank="1" containsNumber="1" minValue="0" maxValue="81364.570000000007"/>
    </cacheField>
    <cacheField name="Actual Saving AUD" numFmtId="165">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Tang Jijing (YXZ0HMN)" refreshedDate="43987.638718518516" createdVersion="5" refreshedVersion="5" minRefreshableVersion="3" recordCount="144">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64">
      <sharedItems containsString="0" containsBlank="1" containsNumber="1" minValue="2500" maxValue="3583.3333333333335"/>
    </cacheField>
    <cacheField name="Forecast Saving USD" numFmtId="164">
      <sharedItems containsSemiMixedTypes="0" containsString="0" containsNumber="1" minValue="0" maxValue="2092.6181073600005"/>
    </cacheField>
    <cacheField name="Actual Cost if no CSI USD" numFmtId="164">
      <sharedItems containsSemiMixedTypes="0" containsString="0" containsNumber="1" minValue="0" maxValue="55691.096596464282"/>
    </cacheField>
    <cacheField name="Actual Cost USD" numFmtId="164">
      <sharedItems containsSemiMixedTypes="0" containsString="0" containsNumber="1" minValue="0" maxValue="53700.616200000004"/>
    </cacheField>
    <cacheField name="Actual Saving USD" numFmtId="164">
      <sharedItems containsSemiMixedTypes="0" containsString="0" containsNumber="1" minValue="0" maxValue="3336.457635212656"/>
    </cacheField>
    <cacheField name="Forecast Saving AUD" numFmtId="165">
      <sharedItems containsSemiMixedTypes="0" containsString="0" containsNumber="1" minValue="0" maxValue="3170.6334960000008"/>
    </cacheField>
    <cacheField name="Actual Cost if no CSI AUD" numFmtId="165">
      <sharedItems containsString="0" containsBlank="1" containsNumber="1" minValue="0" maxValue="84380.449388582245"/>
    </cacheField>
    <cacheField name="Actual Cost AUD" numFmtId="165">
      <sharedItems containsString="0" containsBlank="1" containsNumber="1" minValue="0" maxValue="81364.570000000007"/>
    </cacheField>
    <cacheField name="Actual Saving AUD" numFmtId="165">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68">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3118.699583999999"/>
    <n v="889.35"/>
    <n v="2229.3495839999991"/>
    <n v="2621.3533180000004"/>
    <n v="4725.3023999999987"/>
    <n v="1347.5"/>
    <n v="3377.8023999999987"/>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2566.5065209756103"/>
    <n v="2529.4895999999999"/>
    <n v="37.016920975610063"/>
    <n v="44.536200000000463"/>
    <n v="3888.6462439024394"/>
    <n v="3832.56"/>
    <n v="56.086243902439492"/>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10386.744745631067"/>
    <n v="10286.8722"/>
    <n v="99.872545631067624"/>
    <n v="350.75092502999905"/>
    <n v="15737.492038834951"/>
    <n v="15586.17"/>
    <n v="151.32203883495094"/>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83.061264000000008"/>
    <n v="79.866600000000005"/>
    <n v="3.1946640000000017"/>
    <n v="11.226148000000023"/>
    <n v="125.85040000000001"/>
    <n v="121.01"/>
    <n v="4.8404000000000025"/>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s v="Long-term"/>
    <m/>
  </r>
  <r>
    <n v="62"/>
    <n v="9"/>
    <x v="1"/>
    <s v="GEM"/>
    <s v="AP00060"/>
    <n v="436665"/>
    <n v="758199"/>
    <s v="DROPPOINT RATE ADJUSTMENT"/>
    <n v="2020"/>
    <x v="0"/>
    <x v="1"/>
    <m/>
    <n v="62.347149479999992"/>
    <n v="263.46708845247451"/>
    <n v="247.73100000000002"/>
    <n v="15.736088452474498"/>
    <n v="94.465377999999987"/>
    <n v="399.19255826132502"/>
    <n v="375.35"/>
    <n v="23.842558261324996"/>
    <s v="Long-term"/>
    <m/>
  </r>
  <r>
    <n v="63"/>
    <n v="9"/>
    <x v="1"/>
    <s v="GEM"/>
    <s v="AP00060"/>
    <n v="436665"/>
    <n v="758199"/>
    <s v="DROPPOINT RATE ADJUSTMENT"/>
    <n v="2020"/>
    <x v="0"/>
    <x v="2"/>
    <m/>
    <n v="80.736597479999986"/>
    <n v="315.98749328493642"/>
    <n v="242.48399999999995"/>
    <n v="73.503493284936482"/>
    <n v="122.32817799999998"/>
    <n v="478.76892921960064"/>
    <n v="367.39999999999992"/>
    <n v="111.36892921960072"/>
    <s v="Long-term"/>
    <m/>
  </r>
  <r>
    <n v="64"/>
    <n v="9"/>
    <x v="1"/>
    <s v="GEM"/>
    <s v="AP00060"/>
    <n v="436665"/>
    <n v="758199"/>
    <s v="DROPPOINT RATE ADJUSTMENT"/>
    <n v="2020"/>
    <x v="1"/>
    <x v="3"/>
    <m/>
    <n v="55.41848003999997"/>
    <n v="402.48587192597762"/>
    <n v="326.78579999999982"/>
    <n v="75.700071925977809"/>
    <n v="83.967393999999956"/>
    <n v="609.82707867572367"/>
    <n v="495.12999999999971"/>
    <n v="114.69707867572396"/>
    <s v="Long-term"/>
    <m/>
  </r>
  <r>
    <n v="65"/>
    <n v="9"/>
    <x v="1"/>
    <s v="GEM"/>
    <s v="AP00060"/>
    <n v="436665"/>
    <n v="758199"/>
    <s v="DROPPOINT RATE ADJUSTMENT"/>
    <n v="2020"/>
    <x v="1"/>
    <x v="4"/>
    <m/>
    <n v="99.081554879999985"/>
    <n v="389.02150736842106"/>
    <n v="273.08159999999992"/>
    <n v="115.93990736842115"/>
    <n v="150.12356799999998"/>
    <n v="589.42652631578949"/>
    <n v="413.75999999999988"/>
    <n v="175.66652631578961"/>
    <s v="Long-term"/>
    <m/>
  </r>
  <r>
    <n v="66"/>
    <n v="9"/>
    <x v="1"/>
    <s v="GEM"/>
    <s v="AP00060"/>
    <n v="436665"/>
    <n v="758199"/>
    <s v="DROPPOINT RATE ADJUSTMENT"/>
    <n v="2020"/>
    <x v="1"/>
    <x v="5"/>
    <m/>
    <n v="93.50342231999997"/>
    <n v="0"/>
    <n v="0"/>
    <n v="0"/>
    <n v="141.67185199999994"/>
    <m/>
    <m/>
    <m/>
    <s v="Long-term"/>
    <m/>
  </r>
  <r>
    <n v="67"/>
    <n v="9"/>
    <x v="1"/>
    <s v="GEM"/>
    <s v="AP00060"/>
    <n v="436665"/>
    <n v="758199"/>
    <s v="DROPPOINT RATE ADJUSTMENT"/>
    <n v="2020"/>
    <x v="2"/>
    <x v="6"/>
    <m/>
    <n v="50.980295519999984"/>
    <n v="0"/>
    <n v="0"/>
    <n v="0"/>
    <n v="77.242871999999977"/>
    <m/>
    <m/>
    <m/>
    <s v="Long-term"/>
    <m/>
  </r>
  <r>
    <n v="68"/>
    <n v="9"/>
    <x v="1"/>
    <s v="GEM"/>
    <s v="AP00060"/>
    <n v="436665"/>
    <n v="758199"/>
    <s v="DROPPOINT RATE ADJUSTMENT"/>
    <n v="2020"/>
    <x v="2"/>
    <x v="7"/>
    <m/>
    <n v="89.186845439999985"/>
    <n v="0"/>
    <n v="0"/>
    <n v="0"/>
    <n v="135.13158399999998"/>
    <m/>
    <m/>
    <m/>
    <s v="Long-term"/>
    <m/>
  </r>
  <r>
    <n v="69"/>
    <n v="9"/>
    <x v="1"/>
    <s v="GEM"/>
    <s v="AP00060"/>
    <n v="436665"/>
    <n v="758199"/>
    <s v="DROPPOINT RATE ADJUSTMENT"/>
    <n v="2020"/>
    <x v="2"/>
    <x v="8"/>
    <m/>
    <n v="48.603508799999972"/>
    <n v="0"/>
    <n v="0"/>
    <n v="0"/>
    <n v="73.641679999999951"/>
    <m/>
    <m/>
    <m/>
    <s v="Long-term"/>
    <m/>
  </r>
  <r>
    <n v="70"/>
    <n v="9"/>
    <x v="1"/>
    <s v="GEM"/>
    <s v="AP00060"/>
    <n v="436665"/>
    <n v="758199"/>
    <s v="DROPPOINT RATE ADJUSTMENT"/>
    <n v="2020"/>
    <x v="3"/>
    <x v="9"/>
    <m/>
    <n v="50.005457039999975"/>
    <n v="0"/>
    <n v="0"/>
    <n v="0"/>
    <n v="75.765843999999959"/>
    <m/>
    <m/>
    <m/>
    <s v="Long-term"/>
    <m/>
  </r>
  <r>
    <n v="71"/>
    <n v="9"/>
    <x v="1"/>
    <s v="GEM"/>
    <s v="AP00060"/>
    <n v="436665"/>
    <n v="758199"/>
    <s v="DROPPOINT RATE ADJUSTMENT"/>
    <n v="2020"/>
    <x v="3"/>
    <x v="10"/>
    <m/>
    <n v="0"/>
    <n v="0"/>
    <n v="0"/>
    <n v="0"/>
    <n v="0"/>
    <m/>
    <m/>
    <m/>
    <s v="Long-term"/>
    <s v="DP New Rate Start from Nov-2019 Trade"/>
  </r>
  <r>
    <n v="72"/>
    <n v="10"/>
    <x v="1"/>
    <s v="GEM"/>
    <s v="AP00060"/>
    <n v="436665"/>
    <n v="758199"/>
    <s v="DROPPOINT RATE ADJUSTMENT"/>
    <n v="2020"/>
    <x v="3"/>
    <x v="11"/>
    <m/>
    <n v="0"/>
    <n v="0"/>
    <n v="0"/>
    <n v="0"/>
    <n v="0"/>
    <m/>
    <m/>
    <m/>
    <s v="Long-ter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s v="Long-ter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s v="Long-term"/>
    <m/>
  </r>
  <r>
    <n v="75"/>
    <n v="10"/>
    <x v="1"/>
    <s v="GEM"/>
    <s v="AP00060"/>
    <n v="436666"/>
    <n v="758199"/>
    <s v="DROPPOINT RATE ADJUSTMENT"/>
    <n v="2020"/>
    <x v="0"/>
    <x v="2"/>
    <m/>
    <n v="90.92296752"/>
    <n v="1237.8826233631978"/>
    <n v="1074.9684000000002"/>
    <n v="162.91422336319764"/>
    <n v="137.76207199999999"/>
    <n v="1875.5797323684815"/>
    <n v="1628.7400000000002"/>
    <n v="246.83973236848124"/>
    <s v="Long-term"/>
    <m/>
  </r>
  <r>
    <n v="76"/>
    <n v="10"/>
    <x v="1"/>
    <s v="GEM"/>
    <s v="AP00060"/>
    <n v="436666"/>
    <n v="758199"/>
    <s v="DROPPOINT RATE ADJUSTMENT"/>
    <n v="2020"/>
    <x v="1"/>
    <x v="3"/>
    <m/>
    <n v="59.935758959999966"/>
    <n v="515.81347093910176"/>
    <n v="423.52859999999981"/>
    <n v="92.284870939101907"/>
    <n v="90.811755999999946"/>
    <n v="781.53556202894197"/>
    <n v="641.7099999999997"/>
    <n v="139.82556202894227"/>
    <s v="Long-term"/>
    <m/>
  </r>
  <r>
    <n v="77"/>
    <n v="10"/>
    <x v="1"/>
    <s v="GEM"/>
    <s v="AP00060"/>
    <n v="436666"/>
    <n v="758199"/>
    <s v="DROPPOINT RATE ADJUSTMENT"/>
    <n v="2020"/>
    <x v="1"/>
    <x v="4"/>
    <m/>
    <n v="122.9028107999999"/>
    <n v="847.95734736842019"/>
    <n v="633.20400000000052"/>
    <n v="214.75334736841975"/>
    <n v="186.21637999999984"/>
    <n v="1284.7838596491215"/>
    <n v="959.40000000000066"/>
    <n v="325.38385964912084"/>
    <s v="Long-term"/>
    <m/>
  </r>
  <r>
    <n v="78"/>
    <n v="10"/>
    <x v="1"/>
    <s v="GEM"/>
    <s v="AP00060"/>
    <n v="436666"/>
    <n v="758199"/>
    <s v="DROPPOINT RATE ADJUSTMENT"/>
    <n v="2020"/>
    <x v="1"/>
    <x v="5"/>
    <m/>
    <n v="102.22951199999999"/>
    <n v="0"/>
    <n v="0"/>
    <n v="0"/>
    <n v="154.89319999999998"/>
    <m/>
    <m/>
    <m/>
    <s v="Long-term"/>
    <m/>
  </r>
  <r>
    <n v="79"/>
    <n v="10"/>
    <x v="1"/>
    <s v="GEM"/>
    <s v="AP00060"/>
    <n v="436666"/>
    <n v="758199"/>
    <s v="DROPPOINT RATE ADJUSTMENT"/>
    <n v="2020"/>
    <x v="2"/>
    <x v="6"/>
    <m/>
    <n v="162.24634271999989"/>
    <n v="0"/>
    <n v="0"/>
    <n v="0"/>
    <n v="245.82779199999982"/>
    <m/>
    <m/>
    <m/>
    <s v="Long-term"/>
    <m/>
  </r>
  <r>
    <n v="80"/>
    <n v="10"/>
    <x v="1"/>
    <s v="GEM"/>
    <s v="AP00060"/>
    <n v="436666"/>
    <n v="758199"/>
    <s v="DROPPOINT RATE ADJUSTMENT"/>
    <n v="2020"/>
    <x v="2"/>
    <x v="7"/>
    <m/>
    <n v="145.23412595999997"/>
    <n v="0"/>
    <n v="0"/>
    <n v="0"/>
    <n v="220.05170599999997"/>
    <m/>
    <m/>
    <m/>
    <s v="Long-term"/>
    <m/>
  </r>
  <r>
    <n v="81"/>
    <n v="10"/>
    <x v="1"/>
    <s v="GEM"/>
    <s v="AP00060"/>
    <n v="436666"/>
    <n v="758199"/>
    <s v="DROPPOINT RATE ADJUSTMENT"/>
    <n v="2020"/>
    <x v="2"/>
    <x v="8"/>
    <m/>
    <n v="56.512948799999997"/>
    <n v="0"/>
    <n v="0"/>
    <n v="0"/>
    <n v="85.625679999999988"/>
    <m/>
    <m/>
    <m/>
    <s v="Long-term"/>
    <m/>
  </r>
  <r>
    <n v="82"/>
    <n v="10"/>
    <x v="1"/>
    <s v="GEM"/>
    <s v="AP00060"/>
    <n v="436666"/>
    <n v="758199"/>
    <s v="DROPPOINT RATE ADJUSTMENT"/>
    <n v="2020"/>
    <x v="3"/>
    <x v="9"/>
    <m/>
    <n v="79.523487119999942"/>
    <n v="0"/>
    <n v="0"/>
    <n v="0"/>
    <n v="120.4901319999999"/>
    <m/>
    <m/>
    <m/>
    <s v="Long-term"/>
    <m/>
  </r>
  <r>
    <n v="83"/>
    <n v="10"/>
    <x v="1"/>
    <s v="GEM"/>
    <s v="AP00060"/>
    <n v="436666"/>
    <n v="758199"/>
    <s v="DROPPOINT RATE ADJUSTMENT"/>
    <n v="2020"/>
    <x v="3"/>
    <x v="10"/>
    <m/>
    <n v="0"/>
    <n v="0"/>
    <n v="0"/>
    <n v="0"/>
    <n v="0"/>
    <m/>
    <m/>
    <m/>
    <s v="Long-term"/>
    <s v="DP New Rate Start from Nov-2019 Trade"/>
  </r>
  <r>
    <n v="84"/>
    <n v="10"/>
    <x v="1"/>
    <s v="GEM"/>
    <s v="AP00060"/>
    <n v="436666"/>
    <n v="758199"/>
    <s v="DROPPOINT RATE ADJUSTMENT"/>
    <n v="2020"/>
    <x v="3"/>
    <x v="11"/>
    <m/>
    <n v="0"/>
    <n v="0"/>
    <n v="0"/>
    <n v="0"/>
    <n v="0"/>
    <m/>
    <m/>
    <m/>
    <s v="Long-ter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s v="Long-term"/>
    <m/>
  </r>
  <r>
    <n v="86"/>
    <n v="11"/>
    <x v="1"/>
    <s v="GEM"/>
    <s v="AP00060"/>
    <n v="436668"/>
    <n v="758199"/>
    <s v="DROPPOINT RATE ADJUSTMENT"/>
    <n v="2020"/>
    <x v="0"/>
    <x v="1"/>
    <m/>
    <n v="292.90337075999997"/>
    <n v="1514.4624181882075"/>
    <n v="1445.0501999999988"/>
    <n v="69.412218188208655"/>
    <n v="443.79298599999993"/>
    <n v="2294.6400275578899"/>
    <n v="2189.469999999998"/>
    <n v="105.1700275578919"/>
    <s v="Long-ter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s v="Long-term"/>
    <m/>
  </r>
  <r>
    <n v="88"/>
    <n v="11"/>
    <x v="1"/>
    <s v="GEM"/>
    <s v="AP00060"/>
    <n v="436668"/>
    <n v="758199"/>
    <s v="DROPPOINT RATE ADJUSTMENT"/>
    <n v="2020"/>
    <x v="1"/>
    <x v="3"/>
    <m/>
    <n v="301.63736987999982"/>
    <n v="3384.6201069579834"/>
    <n v="3047.3322000000012"/>
    <n v="337.28790695798187"/>
    <n v="457.02631799999972"/>
    <n v="5128.2122832696714"/>
    <n v="4617.1700000000019"/>
    <n v="511.0422832696695"/>
    <s v="Long-term"/>
    <m/>
  </r>
  <r>
    <n v="89"/>
    <n v="11"/>
    <x v="1"/>
    <s v="GEM"/>
    <s v="AP00060"/>
    <n v="436668"/>
    <n v="758199"/>
    <s v="DROPPOINT RATE ADJUSTMENT"/>
    <n v="2020"/>
    <x v="1"/>
    <x v="4"/>
    <m/>
    <n v="412.07094851999994"/>
    <n v="1550.6684857906673"/>
    <n v="1147.238399999999"/>
    <n v="403.43008579066833"/>
    <n v="624.34992199999988"/>
    <n v="2349.4977057434353"/>
    <n v="1738.2399999999984"/>
    <n v="611.25770574343687"/>
    <s v="Long-term"/>
    <m/>
  </r>
  <r>
    <n v="90"/>
    <n v="11"/>
    <x v="1"/>
    <s v="GEM"/>
    <s v="AP00060"/>
    <n v="436668"/>
    <n v="758199"/>
    <s v="DROPPOINT RATE ADJUSTMENT"/>
    <n v="2020"/>
    <x v="1"/>
    <x v="5"/>
    <m/>
    <n v="315.09033863999997"/>
    <n v="0"/>
    <n v="0"/>
    <n v="0"/>
    <n v="477.40960399999994"/>
    <m/>
    <m/>
    <m/>
    <s v="Long-term"/>
    <m/>
  </r>
  <r>
    <n v="91"/>
    <n v="11"/>
    <x v="1"/>
    <s v="GEM"/>
    <s v="AP00060"/>
    <n v="436668"/>
    <n v="758199"/>
    <s v="DROPPOINT RATE ADJUSTMENT"/>
    <n v="2020"/>
    <x v="2"/>
    <x v="6"/>
    <m/>
    <n v="291.59435843999984"/>
    <n v="0"/>
    <n v="0"/>
    <n v="0"/>
    <n v="441.80963399999973"/>
    <m/>
    <m/>
    <m/>
    <s v="Long-term"/>
    <m/>
  </r>
  <r>
    <n v="92"/>
    <n v="11"/>
    <x v="1"/>
    <s v="GEM"/>
    <s v="AP00060"/>
    <n v="436668"/>
    <n v="758199"/>
    <s v="DROPPOINT RATE ADJUSTMENT"/>
    <n v="2020"/>
    <x v="2"/>
    <x v="7"/>
    <m/>
    <n v="182.91766415999999"/>
    <n v="0"/>
    <n v="0"/>
    <n v="0"/>
    <n v="277.14797599999997"/>
    <m/>
    <m/>
    <m/>
    <s v="Long-term"/>
    <m/>
  </r>
  <r>
    <n v="93"/>
    <n v="11"/>
    <x v="1"/>
    <s v="GEM"/>
    <s v="AP00060"/>
    <n v="436668"/>
    <n v="758199"/>
    <s v="DROPPOINT RATE ADJUSTMENT"/>
    <n v="2020"/>
    <x v="2"/>
    <x v="8"/>
    <m/>
    <n v="232.13909795999993"/>
    <n v="0"/>
    <n v="0"/>
    <n v="0"/>
    <n v="351.7259059999999"/>
    <m/>
    <m/>
    <m/>
    <s v="Long-term"/>
    <m/>
  </r>
  <r>
    <n v="94"/>
    <n v="11"/>
    <x v="1"/>
    <s v="GEM"/>
    <s v="AP00060"/>
    <n v="436668"/>
    <n v="758199"/>
    <s v="DROPPOINT RATE ADJUSTMENT"/>
    <n v="2020"/>
    <x v="3"/>
    <x v="9"/>
    <m/>
    <n v="284.10411875999978"/>
    <n v="0"/>
    <n v="0"/>
    <n v="0"/>
    <n v="430.46078599999964"/>
    <m/>
    <m/>
    <m/>
    <s v="Long-term"/>
    <m/>
  </r>
  <r>
    <n v="95"/>
    <n v="11"/>
    <x v="1"/>
    <s v="GEM"/>
    <s v="AP00060"/>
    <n v="436668"/>
    <n v="758199"/>
    <s v="DROPPOINT RATE ADJUSTMENT"/>
    <n v="2020"/>
    <x v="3"/>
    <x v="10"/>
    <m/>
    <n v="0"/>
    <n v="0"/>
    <n v="0"/>
    <n v="0"/>
    <n v="0"/>
    <m/>
    <m/>
    <m/>
    <s v="Long-term"/>
    <s v="DP New Rate Start from Nov-2019 Trade"/>
  </r>
  <r>
    <n v="96"/>
    <n v="11"/>
    <x v="1"/>
    <s v="GEM"/>
    <s v="AP00060"/>
    <n v="436668"/>
    <n v="758199"/>
    <s v="DROPPOINT RATE ADJUSTMENT"/>
    <n v="2020"/>
    <x v="3"/>
    <x v="11"/>
    <m/>
    <n v="0"/>
    <n v="0"/>
    <n v="0"/>
    <n v="0"/>
    <n v="0"/>
    <m/>
    <m/>
    <m/>
    <s v="Long-ter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s v="Long-ter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s v="Long-term"/>
    <m/>
  </r>
  <r>
    <n v="99"/>
    <n v="12"/>
    <x v="1"/>
    <s v="GEM"/>
    <s v="AP00060"/>
    <n v="436671"/>
    <n v="758199"/>
    <s v="DROPPOINT RATE ADJUSTMENT"/>
    <n v="2020"/>
    <x v="0"/>
    <x v="2"/>
    <m/>
    <n v="55.436276279999987"/>
    <n v="489.74829965702128"/>
    <n v="428.5379999999999"/>
    <n v="61.21029965702138"/>
    <n v="83.994357999999977"/>
    <n v="742.04287826821405"/>
    <n v="649.29999999999984"/>
    <n v="92.742878268214213"/>
    <s v="Long-ter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s v="Long-term"/>
    <m/>
  </r>
  <r>
    <n v="101"/>
    <n v="12"/>
    <x v="1"/>
    <s v="GEM"/>
    <s v="AP00060"/>
    <n v="436671"/>
    <n v="758199"/>
    <s v="DROPPOINT RATE ADJUSTMENT"/>
    <n v="2020"/>
    <x v="1"/>
    <x v="4"/>
    <m/>
    <n v="87.170926919999957"/>
    <n v="429.53244631578946"/>
    <n v="356.53199999999998"/>
    <n v="73.000446315789503"/>
    <n v="132.07716199999993"/>
    <n v="650.80673684210524"/>
    <n v="540.19999999999993"/>
    <n v="110.60673684210531"/>
    <s v="Long-term"/>
    <m/>
  </r>
  <r>
    <n v="102"/>
    <n v="12"/>
    <x v="1"/>
    <s v="GEM"/>
    <s v="AP00060"/>
    <n v="436671"/>
    <n v="758199"/>
    <s v="DROPPOINT RATE ADJUSTMENT"/>
    <n v="2020"/>
    <x v="1"/>
    <x v="5"/>
    <m/>
    <n v="21.167638799999985"/>
    <n v="0"/>
    <n v="0"/>
    <n v="0"/>
    <n v="32.072179999999975"/>
    <m/>
    <m/>
    <m/>
    <s v="Long-term"/>
    <m/>
  </r>
  <r>
    <n v="103"/>
    <n v="12"/>
    <x v="1"/>
    <s v="GEM"/>
    <s v="AP00060"/>
    <n v="436671"/>
    <n v="758199"/>
    <s v="DROPPOINT RATE ADJUSTMENT"/>
    <n v="2020"/>
    <x v="2"/>
    <x v="6"/>
    <m/>
    <n v="48.874407119999987"/>
    <n v="0"/>
    <n v="0"/>
    <n v="0"/>
    <n v="74.052131999999972"/>
    <m/>
    <m/>
    <m/>
    <s v="Long-term"/>
    <m/>
  </r>
  <r>
    <n v="104"/>
    <n v="12"/>
    <x v="1"/>
    <s v="GEM"/>
    <s v="AP00060"/>
    <n v="436671"/>
    <n v="758199"/>
    <s v="DROPPOINT RATE ADJUSTMENT"/>
    <n v="2020"/>
    <x v="2"/>
    <x v="7"/>
    <m/>
    <n v="54.517792559999954"/>
    <n v="0"/>
    <n v="0"/>
    <n v="0"/>
    <n v="82.60271599999993"/>
    <m/>
    <m/>
    <m/>
    <s v="Long-term"/>
    <m/>
  </r>
  <r>
    <n v="105"/>
    <n v="12"/>
    <x v="1"/>
    <s v="GEM"/>
    <s v="AP00060"/>
    <n v="436671"/>
    <n v="758199"/>
    <s v="DROPPOINT RATE ADJUSTMENT"/>
    <n v="2020"/>
    <x v="2"/>
    <x v="8"/>
    <m/>
    <n v="34.55832071999999"/>
    <n v="0"/>
    <n v="0"/>
    <n v="0"/>
    <n v="52.361091999999985"/>
    <m/>
    <m/>
    <m/>
    <s v="Long-term"/>
    <m/>
  </r>
  <r>
    <n v="106"/>
    <n v="12"/>
    <x v="1"/>
    <s v="GEM"/>
    <s v="AP00060"/>
    <n v="436671"/>
    <n v="758199"/>
    <s v="DROPPOINT RATE ADJUSTMENT"/>
    <n v="2020"/>
    <x v="3"/>
    <x v="9"/>
    <m/>
    <n v="50.52154799999996"/>
    <n v="0"/>
    <n v="0"/>
    <n v="0"/>
    <n v="76.547799999999938"/>
    <m/>
    <m/>
    <m/>
    <s v="Long-term"/>
    <m/>
  </r>
  <r>
    <n v="107"/>
    <n v="12"/>
    <x v="1"/>
    <s v="GEM"/>
    <s v="AP00060"/>
    <n v="436671"/>
    <n v="758199"/>
    <s v="DROPPOINT RATE ADJUSTMENT"/>
    <n v="2020"/>
    <x v="3"/>
    <x v="10"/>
    <m/>
    <n v="0"/>
    <n v="0"/>
    <n v="0"/>
    <n v="0"/>
    <n v="0"/>
    <m/>
    <m/>
    <m/>
    <s v="Long-term"/>
    <s v="DP New Rate Start from Nov-2019 Trade"/>
  </r>
  <r>
    <n v="108"/>
    <n v="12"/>
    <x v="1"/>
    <s v="GEM"/>
    <s v="AP00060"/>
    <n v="436671"/>
    <n v="758199"/>
    <s v="DROPPOINT RATE ADJUSTMENT"/>
    <n v="2020"/>
    <x v="3"/>
    <x v="11"/>
    <m/>
    <n v="0"/>
    <n v="0"/>
    <n v="0"/>
    <n v="0"/>
    <n v="0"/>
    <m/>
    <m/>
    <m/>
    <s v="Long-ter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s v="Long-ter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s v="Long-ter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s v="Long-term"/>
    <m/>
  </r>
  <r>
    <n v="112"/>
    <n v="13"/>
    <x v="1"/>
    <s v="GEM"/>
    <s v="AP00060"/>
    <n v="436672"/>
    <n v="758199"/>
    <s v="DROPPOINT RATE ADJUSTMENT"/>
    <n v="2020"/>
    <x v="1"/>
    <x v="3"/>
    <m/>
    <n v="559.92013307999957"/>
    <n v="5164.5860141744433"/>
    <n v="4581.7793999999985"/>
    <n v="582.8066141744448"/>
    <n v="848.3638379999993"/>
    <n v="7825.130324506732"/>
    <n v="6942.0899999999974"/>
    <n v="883.04032450673458"/>
    <s v="Long-term"/>
    <m/>
  </r>
  <r>
    <n v="113"/>
    <n v="13"/>
    <x v="1"/>
    <s v="GEM"/>
    <s v="AP00060"/>
    <n v="436672"/>
    <n v="758199"/>
    <s v="DROPPOINT RATE ADJUSTMENT"/>
    <n v="2020"/>
    <x v="1"/>
    <x v="4"/>
    <m/>
    <n v="768.54743195999959"/>
    <n v="4463.9338115970731"/>
    <n v="3971.7743999999984"/>
    <n v="492.15941159707478"/>
    <n v="1164.4658059999992"/>
    <n v="6763.5360781773834"/>
    <n v="6017.8399999999974"/>
    <n v="745.69607817738597"/>
    <s v="Long-term"/>
    <m/>
  </r>
  <r>
    <n v="114"/>
    <n v="13"/>
    <x v="1"/>
    <s v="GEM"/>
    <s v="AP00060"/>
    <n v="436672"/>
    <n v="758199"/>
    <s v="DROPPOINT RATE ADJUSTMENT"/>
    <n v="2020"/>
    <x v="1"/>
    <x v="5"/>
    <m/>
    <n v="576.3826437599995"/>
    <n v="0"/>
    <n v="0"/>
    <n v="0"/>
    <n v="873.30703599999924"/>
    <m/>
    <m/>
    <m/>
    <s v="Long-term"/>
    <m/>
  </r>
  <r>
    <n v="115"/>
    <n v="13"/>
    <x v="1"/>
    <s v="GEM"/>
    <s v="AP00060"/>
    <n v="436672"/>
    <n v="758199"/>
    <s v="DROPPOINT RATE ADJUSTMENT"/>
    <n v="2020"/>
    <x v="2"/>
    <x v="6"/>
    <m/>
    <n v="668.85289547999969"/>
    <n v="0"/>
    <n v="0"/>
    <n v="0"/>
    <n v="1013.4134779999995"/>
    <m/>
    <m/>
    <m/>
    <s v="Long-term"/>
    <m/>
  </r>
  <r>
    <n v="116"/>
    <n v="13"/>
    <x v="1"/>
    <s v="GEM"/>
    <s v="AP00060"/>
    <n v="436672"/>
    <n v="758199"/>
    <s v="DROPPOINT RATE ADJUSTMENT"/>
    <n v="2020"/>
    <x v="2"/>
    <x v="7"/>
    <m/>
    <n v="708.69175608"/>
    <n v="0"/>
    <n v="0"/>
    <n v="0"/>
    <n v="1073.775388"/>
    <m/>
    <m/>
    <m/>
    <s v="Long-term"/>
    <m/>
  </r>
  <r>
    <n v="117"/>
    <n v="13"/>
    <x v="1"/>
    <s v="GEM"/>
    <s v="AP00060"/>
    <n v="436672"/>
    <n v="758199"/>
    <s v="DROPPOINT RATE ADJUSTMENT"/>
    <n v="2020"/>
    <x v="2"/>
    <x v="8"/>
    <m/>
    <n v="533.65782623999996"/>
    <n v="0"/>
    <n v="0"/>
    <n v="0"/>
    <n v="808.57246399999985"/>
    <m/>
    <m/>
    <m/>
    <s v="Long-term"/>
    <m/>
  </r>
  <r>
    <n v="118"/>
    <n v="13"/>
    <x v="1"/>
    <s v="GEM"/>
    <s v="AP00060"/>
    <n v="436672"/>
    <n v="758199"/>
    <s v="DROPPOINT RATE ADJUSTMENT"/>
    <n v="2020"/>
    <x v="3"/>
    <x v="9"/>
    <m/>
    <n v="605.15817515999959"/>
    <n v="0"/>
    <n v="0"/>
    <n v="0"/>
    <n v="916.90632599999935"/>
    <m/>
    <m/>
    <m/>
    <s v="Long-term"/>
    <m/>
  </r>
  <r>
    <n v="119"/>
    <n v="13"/>
    <x v="1"/>
    <s v="GEM"/>
    <s v="AP00060"/>
    <n v="436672"/>
    <n v="758199"/>
    <s v="DROPPOINT RATE ADJUSTMENT"/>
    <n v="2020"/>
    <x v="3"/>
    <x v="10"/>
    <m/>
    <n v="0"/>
    <n v="0"/>
    <n v="0"/>
    <n v="0"/>
    <n v="0"/>
    <m/>
    <m/>
    <m/>
    <s v="Long-term"/>
    <s v="DP New Rate Start from Nov-2019 Trade"/>
  </r>
  <r>
    <n v="120"/>
    <n v="13"/>
    <x v="1"/>
    <s v="GEM"/>
    <s v="AP00060"/>
    <n v="436672"/>
    <n v="758199"/>
    <s v="DROPPOINT RATE ADJUSTMENT"/>
    <n v="2020"/>
    <x v="3"/>
    <x v="11"/>
    <m/>
    <n v="0"/>
    <n v="0"/>
    <n v="0"/>
    <n v="0"/>
    <n v="0"/>
    <m/>
    <m/>
    <m/>
    <s v="Long-term"/>
    <s v="DP New Rate Start from Nov-2019 Trade"/>
  </r>
  <r>
    <n v="121"/>
    <n v="2"/>
    <x v="0"/>
    <s v="MERCK"/>
    <s v="AP00486"/>
    <n v="300493"/>
    <n v="758199"/>
    <s v="TOLL PRIORITY OVERNIGHT SWITCH TO TNT"/>
    <n v="2020"/>
    <x v="0"/>
    <x v="4"/>
    <m/>
    <n v="0"/>
    <n v="63865.223751133803"/>
    <n v="61793.661599999999"/>
    <n v="2071.5621511338022"/>
    <n v="0"/>
    <n v="96765.490532020907"/>
    <n v="93626.76"/>
    <n v="3138.7305320209125"/>
    <s v="Once-off"/>
    <m/>
  </r>
  <r>
    <n v="122"/>
    <n v="14"/>
    <x v="1"/>
    <s v="APOLLOG"/>
    <s v="AP00575"/>
    <n v="300493"/>
    <n v="758199"/>
    <s v="TOLL PRIORITY OVERNIGHT SWITCH TO STAR TRACK"/>
    <n v="2020"/>
    <x v="1"/>
    <x v="4"/>
    <m/>
    <n v="0"/>
    <n v="17.590340241355733"/>
    <n v="5.1348000000000003"/>
    <n v="12.455540241355733"/>
    <n v="0"/>
    <n v="26.652030668720808"/>
    <n v="7.78"/>
    <n v="18.872030668720807"/>
    <s v="Once-off"/>
    <m/>
  </r>
  <r>
    <n v="123"/>
    <n v="15"/>
    <x v="1"/>
    <s v="BROCADS"/>
    <s v="AP00494"/>
    <n v="436672"/>
    <n v="758199"/>
    <s v="TOLL PRIORITY OVERNIGHT SWITCH TO STAR TRACK"/>
    <n v="2020"/>
    <x v="1"/>
    <x v="4"/>
    <m/>
    <n v="0"/>
    <n v="13.781122931031463"/>
    <n v="7.4447999999999999"/>
    <n v="6.3363229310314626"/>
    <n v="0"/>
    <n v="20.880489289441609"/>
    <n v="11.28"/>
    <n v="9.6004892894416098"/>
    <s v="Once-off"/>
    <m/>
  </r>
  <r>
    <n v="124"/>
    <n v="1"/>
    <x v="1"/>
    <s v="DDNM"/>
    <s v="AP00681"/>
    <n v="436668"/>
    <n v="758199"/>
    <s v="TOLL PRIORITY OVERNIGHT SWITCH TO STAR TRACK"/>
    <n v="2020"/>
    <x v="1"/>
    <x v="4"/>
    <m/>
    <n v="0"/>
    <n v="13.444330640460919"/>
    <n v="5.7486000000000006"/>
    <n v="7.6957306404609183"/>
    <n v="0"/>
    <n v="20.3701979400923"/>
    <n v="8.7100000000000009"/>
    <n v="11.660197940092299"/>
    <s v="Once-off"/>
    <m/>
  </r>
  <r>
    <n v="125"/>
    <n v="16"/>
    <x v="1"/>
    <s v="EXTC"/>
    <s v="AP00052"/>
    <n v="436667"/>
    <n v="758199"/>
    <s v="TOLL PRIORITY OVERNIGHT SWITCH TO STAR TRACK"/>
    <n v="2020"/>
    <x v="1"/>
    <x v="4"/>
    <m/>
    <n v="0"/>
    <n v="15.821414951865217"/>
    <n v="10.9626"/>
    <n v="4.8588149518652175"/>
    <n v="0"/>
    <n v="23.971840836159419"/>
    <n v="16.61"/>
    <n v="7.3618408361594199"/>
    <s v="Once-off"/>
    <m/>
  </r>
  <r>
    <n v="126"/>
    <n v="3"/>
    <x v="1"/>
    <s v="EXTS"/>
    <s v="AP00052"/>
    <n v="436672"/>
    <n v="758199"/>
    <s v="TOLL PRIORITY OVERNIGHT SWITCH TO STAR TRACK"/>
    <n v="2020"/>
    <x v="1"/>
    <x v="4"/>
    <m/>
    <n v="0"/>
    <n v="231.37360962139303"/>
    <n v="112.74120000000001"/>
    <n v="118.63240962139304"/>
    <n v="0"/>
    <n v="350.56607518392883"/>
    <n v="170.82"/>
    <n v="179.74607518392884"/>
    <s v="Once-off"/>
    <m/>
  </r>
  <r>
    <n v="127"/>
    <n v="17"/>
    <x v="1"/>
    <s v="GEHCMDX"/>
    <s v="AP00470"/>
    <n v="300493"/>
    <n v="758199"/>
    <s v="TOLL PRIORITY OVERNIGHT SWITCH TO STAR TRACK"/>
    <n v="2020"/>
    <x v="1"/>
    <x v="4"/>
    <m/>
    <n v="0"/>
    <n v="136.14949072655148"/>
    <n v="112.6092"/>
    <n v="23.540290726551479"/>
    <n v="0"/>
    <n v="206.28710716144164"/>
    <n v="170.62"/>
    <n v="35.667107161441635"/>
    <s v="Once-off"/>
    <m/>
  </r>
  <r>
    <n v="128"/>
    <n v="18"/>
    <x v="1"/>
    <s v="GEHCP"/>
    <s v="AP00470"/>
    <n v="436671"/>
    <n v="758199"/>
    <s v="TOLL PRIORITY OVERNIGHT SWITCH TO STAR TRACK"/>
    <n v="2020"/>
    <x v="1"/>
    <x v="4"/>
    <m/>
    <n v="0"/>
    <n v="80.366786381237034"/>
    <n v="52.4634"/>
    <n v="27.903386381237034"/>
    <n v="0"/>
    <n v="121.76785815338944"/>
    <n v="79.489999999999995"/>
    <n v="42.277858153389445"/>
    <s v="Once-off"/>
    <m/>
  </r>
  <r>
    <n v="129"/>
    <n v="19"/>
    <x v="1"/>
    <s v="GEMB"/>
    <s v="AP00060"/>
    <n v="436666"/>
    <n v="758199"/>
    <s v="TOLL PRIORITY OVERNIGHT SWITCH TO STAR TRACK"/>
    <n v="2020"/>
    <x v="1"/>
    <x v="4"/>
    <m/>
    <n v="0"/>
    <n v="1348.7807655938868"/>
    <n v="314.80020000000002"/>
    <n v="1033.9805655938867"/>
    <n v="0"/>
    <n v="2043.607220596798"/>
    <n v="476.97"/>
    <n v="1566.637220596798"/>
    <s v="Once-off"/>
    <m/>
  </r>
  <r>
    <n v="130"/>
    <n v="20"/>
    <x v="1"/>
    <s v="GEMS"/>
    <s v="AP00060"/>
    <n v="436672"/>
    <n v="758199"/>
    <s v="TOLL PRIORITY OVERNIGHT SWITCH TO STAR TRACK"/>
    <n v="2020"/>
    <x v="1"/>
    <x v="4"/>
    <m/>
    <n v="0"/>
    <n v="973.8559809418789"/>
    <n v="536.67899999999997"/>
    <n v="437.17698094187887"/>
    <n v="0"/>
    <n v="1475.5393650634528"/>
    <n v="813.15"/>
    <n v="662.38936506345283"/>
    <s v="Once-off"/>
    <m/>
  </r>
  <r>
    <n v="131"/>
    <n v="21"/>
    <x v="1"/>
    <s v="INVISAG"/>
    <s v="AP00433 "/>
    <n v="300493"/>
    <n v="758199"/>
    <s v="TOLL PRIORITY OVERNIGHT SWITCH TO STAR TRACK"/>
    <n v="2020"/>
    <x v="1"/>
    <x v="4"/>
    <m/>
    <n v="0"/>
    <n v="7.4537077168757309"/>
    <n v="3.7818000000000005"/>
    <n v="3.6719077168757308"/>
    <n v="0"/>
    <n v="11.293496540720804"/>
    <n v="5.73"/>
    <n v="5.5634965407208039"/>
    <s v="Once-off"/>
    <m/>
  </r>
  <r>
    <n v="132"/>
    <n v="22"/>
    <x v="1"/>
    <s v="JUNIPERB"/>
    <s v="AP00087"/>
    <n v="436666"/>
    <n v="758199"/>
    <s v="TOLL PRIORITY OVERNIGHT SWITCH TO STAR TRACK"/>
    <n v="2020"/>
    <x v="1"/>
    <x v="4"/>
    <m/>
    <n v="0"/>
    <n v="82.192803621955193"/>
    <n v="31.600800000000003"/>
    <n v="50.592003621955186"/>
    <n v="0"/>
    <n v="124.53455094235635"/>
    <n v="47.88"/>
    <n v="76.654550942356337"/>
    <s v="Once-off"/>
    <m/>
  </r>
  <r>
    <n v="133"/>
    <n v="5"/>
    <x v="1"/>
    <s v="JUNIPERC"/>
    <s v="AP00087"/>
    <n v="436667"/>
    <n v="758199"/>
    <s v="TOLL PRIORITY OVERNIGHT SWITCH TO STAR TRACK"/>
    <n v="2020"/>
    <x v="1"/>
    <x v="4"/>
    <m/>
    <n v="0"/>
    <n v="215.61841172252988"/>
    <n v="99.514800000000008"/>
    <n v="116.10361172252988"/>
    <n v="0"/>
    <n v="326.69456321595436"/>
    <n v="150.78"/>
    <n v="175.91456321595436"/>
    <s v="Once-off"/>
    <m/>
  </r>
  <r>
    <n v="134"/>
    <n v="23"/>
    <x v="1"/>
    <s v="JUNIPERP"/>
    <s v="AP00087"/>
    <n v="436671"/>
    <n v="758199"/>
    <s v="TOLL PRIORITY OVERNIGHT SWITCH TO STAR TRACK"/>
    <n v="2020"/>
    <x v="1"/>
    <x v="4"/>
    <m/>
    <n v="0"/>
    <n v="45.998298837319808"/>
    <n v="10.329000000000001"/>
    <n v="35.669298837319808"/>
    <n v="0"/>
    <n v="69.69439217775728"/>
    <n v="15.65"/>
    <n v="54.044392177757281"/>
    <s v="Once-off"/>
    <m/>
  </r>
  <r>
    <n v="135"/>
    <n v="7"/>
    <x v="1"/>
    <s v="JUNIPERS"/>
    <s v="AP00087"/>
    <n v="436672"/>
    <n v="758199"/>
    <s v="TOLL PRIORITY OVERNIGHT SWITCH TO STAR TRACK"/>
    <n v="2020"/>
    <x v="1"/>
    <x v="4"/>
    <m/>
    <n v="0"/>
    <n v="7488.6357932584815"/>
    <n v="3709.6422000000002"/>
    <n v="3778.9935932584817"/>
    <n v="0"/>
    <n v="11346.417868573457"/>
    <n v="5620.67"/>
    <n v="5725.7478685734568"/>
    <s v="Once-off"/>
    <m/>
  </r>
  <r>
    <n v="136"/>
    <n v="24"/>
    <x v="1"/>
    <s v="JUNIPERTELM"/>
    <s v="AP00087"/>
    <n v="436668"/>
    <n v="758199"/>
    <s v="TOLL PRIORITY OVERNIGHT SWITCH TO STAR TRACK"/>
    <n v="2020"/>
    <x v="1"/>
    <x v="4"/>
    <m/>
    <n v="0"/>
    <n v="151.95668474103766"/>
    <n v="87.251999999999995"/>
    <n v="64.704684741037667"/>
    <n v="0"/>
    <n v="230.23740112278432"/>
    <n v="132.19999999999999"/>
    <n v="98.037401122784331"/>
    <s v="Once-off"/>
    <m/>
  </r>
  <r>
    <n v="137"/>
    <n v="25"/>
    <x v="1"/>
    <s v="NVIDIAS"/>
    <s v="AP00642"/>
    <n v="436672"/>
    <n v="758199"/>
    <s v="TOLL PRIORITY OVERNIGHT SWITCH TO STAR TRACK"/>
    <n v="2020"/>
    <x v="1"/>
    <x v="4"/>
    <m/>
    <n v="0"/>
    <n v="104.51392190015146"/>
    <n v="66.9636"/>
    <n v="37.550321900151467"/>
    <n v="0"/>
    <n v="158.3544271214416"/>
    <n v="101.46"/>
    <n v="56.894427121441609"/>
    <s v="Once-off"/>
    <m/>
  </r>
  <r>
    <n v="138"/>
    <n v="26"/>
    <x v="1"/>
    <s v="PALS"/>
    <s v="AP00615"/>
    <n v="436672"/>
    <n v="758199"/>
    <s v="TOLL PRIORITY OVERNIGHT SWITCH TO STAR TRACK"/>
    <n v="2020"/>
    <x v="1"/>
    <x v="4"/>
    <m/>
    <n v="0"/>
    <n v="364.78686877871155"/>
    <n v="245.83680000000001"/>
    <n v="118.95006877871153"/>
    <n v="0"/>
    <n v="552.70737693744172"/>
    <n v="372.48"/>
    <n v="180.2273769374417"/>
    <s v="Once-off"/>
    <m/>
  </r>
  <r>
    <n v="139"/>
    <n v="27"/>
    <x v="1"/>
    <s v="RIVERM"/>
    <s v="AP00155"/>
    <n v="436668"/>
    <n v="758199"/>
    <s v="TOLL PRIORITY OVERNIGHT SWITCH TO STAR TRACK"/>
    <n v="2020"/>
    <x v="1"/>
    <x v="4"/>
    <m/>
    <n v="0"/>
    <n v="14.491859320062813"/>
    <n v="5.7486000000000006"/>
    <n v="8.7432593200628119"/>
    <n v="0"/>
    <n v="21.957362606155776"/>
    <n v="8.7100000000000009"/>
    <n v="13.247362606155775"/>
    <s v="Once-off"/>
    <m/>
  </r>
  <r>
    <n v="140"/>
    <n v="28"/>
    <x v="1"/>
    <s v="RIVERS"/>
    <s v="AP00155"/>
    <n v="436672"/>
    <n v="758199"/>
    <s v="TOLL PRIORITY OVERNIGHT SWITCH TO STAR TRACK"/>
    <n v="2020"/>
    <x v="1"/>
    <x v="4"/>
    <m/>
    <n v="0"/>
    <n v="196.19232624093013"/>
    <n v="113.11739999999999"/>
    <n v="83.074926240930139"/>
    <n v="0"/>
    <n v="297.26110036504565"/>
    <n v="171.39"/>
    <n v="125.87110036504566"/>
    <s v="Once-off"/>
    <m/>
  </r>
  <r>
    <n v="141"/>
    <n v="29"/>
    <x v="1"/>
    <s v="SCHNDRC"/>
    <s v="AP00160"/>
    <n v="436667"/>
    <n v="758199"/>
    <s v="TOLL PRIORITY OVERNIGHT SWITCH TO STAR TRACK"/>
    <n v="2020"/>
    <x v="1"/>
    <x v="4"/>
    <m/>
    <n v="0"/>
    <n v="496.0087786743573"/>
    <n v="264.37619999999998"/>
    <n v="231.63257867435729"/>
    <n v="0"/>
    <n v="751.52845253690498"/>
    <n v="400.57"/>
    <n v="350.95845253690499"/>
    <s v="Once-off"/>
    <m/>
  </r>
  <r>
    <n v="142"/>
    <n v="30"/>
    <x v="1"/>
    <s v="SUPERS"/>
    <s v="AP00637 "/>
    <n v="436672"/>
    <n v="758199"/>
    <s v="TOLL PRIORITY OVERNIGHT SWITCH TO STAR TRACK"/>
    <n v="2020"/>
    <x v="1"/>
    <x v="4"/>
    <m/>
    <n v="0"/>
    <n v="35.926322558387191"/>
    <n v="16.5792"/>
    <n v="19.347122558387191"/>
    <n v="0"/>
    <n v="54.433822058162413"/>
    <n v="25.12"/>
    <n v="29.313822058162412"/>
    <s v="Once-off"/>
    <m/>
  </r>
  <r>
    <n v="143"/>
    <n v="31"/>
    <x v="1"/>
    <s v="TERAC"/>
    <s v="AP00185"/>
    <n v="436667"/>
    <n v="758199"/>
    <s v="TOLL PRIORITY OVERNIGHT SWITCH TO STAR TRACK"/>
    <n v="2020"/>
    <x v="1"/>
    <x v="4"/>
    <m/>
    <n v="0"/>
    <n v="60.221561060048792"/>
    <n v="26.848800000000001"/>
    <n v="33.372761060048788"/>
    <n v="0"/>
    <n v="91.244789484922407"/>
    <n v="40.68"/>
    <n v="50.564789484922407"/>
    <s v="Once-off"/>
    <m/>
  </r>
  <r>
    <n v="144"/>
    <n v="32"/>
    <x v="1"/>
    <s v="TERAS"/>
    <s v="AP00185"/>
    <n v="436672"/>
    <n v="758199"/>
    <s v="TOLL PRIORITY OVERNIGHT SWITCH TO STAR TRACK"/>
    <n v="2020"/>
    <x v="1"/>
    <x v="4"/>
    <m/>
    <n v="0"/>
    <n v="181.56919697274023"/>
    <n v="109.94280000000002"/>
    <n v="71.626396972740224"/>
    <n v="0"/>
    <n v="275.10484389809125"/>
    <n v="166.58"/>
    <n v="108.52484389809123"/>
    <s v="Once-off"/>
    <m/>
  </r>
</pivotCacheRecords>
</file>

<file path=xl/pivotCache/pivotCacheRecords2.xml><?xml version="1.0" encoding="utf-8"?>
<pivotCacheRecords xmlns="http://schemas.openxmlformats.org/spreadsheetml/2006/main" xmlns:r="http://schemas.openxmlformats.org/officeDocument/2006/relationships"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m/>
    <m/>
  </r>
  <r>
    <n v="62"/>
    <n v="9"/>
    <x v="1"/>
    <s v="GEM"/>
    <s v="AP00060"/>
    <n v="436665"/>
    <n v="758199"/>
    <s v="DROPPOINT RATE ADJUSTMENT"/>
    <n v="2020"/>
    <x v="0"/>
    <x v="1"/>
    <m/>
    <n v="62.347149479999992"/>
    <n v="263.46708845247451"/>
    <n v="247.73100000000002"/>
    <n v="15.736088452474498"/>
    <n v="94.465377999999987"/>
    <n v="399.19255826132502"/>
    <n v="375.35"/>
    <n v="23.842558261324996"/>
    <m/>
    <m/>
  </r>
  <r>
    <n v="63"/>
    <n v="9"/>
    <x v="1"/>
    <s v="GEM"/>
    <s v="AP00060"/>
    <n v="436665"/>
    <n v="758199"/>
    <s v="DROPPOINT RATE ADJUSTMENT"/>
    <n v="2020"/>
    <x v="0"/>
    <x v="2"/>
    <m/>
    <n v="80.736597479999986"/>
    <n v="315.98749328493642"/>
    <n v="242.48399999999995"/>
    <n v="73.503493284936482"/>
    <n v="122.32817799999998"/>
    <n v="478.76892921960064"/>
    <n v="367.39999999999992"/>
    <n v="111.36892921960072"/>
    <m/>
    <m/>
  </r>
  <r>
    <n v="64"/>
    <n v="9"/>
    <x v="1"/>
    <s v="GEM"/>
    <s v="AP00060"/>
    <n v="436665"/>
    <n v="758199"/>
    <s v="DROPPOINT RATE ADJUSTMENT"/>
    <n v="2020"/>
    <x v="1"/>
    <x v="3"/>
    <m/>
    <n v="55.41848003999997"/>
    <n v="402.48587192597762"/>
    <n v="326.78579999999982"/>
    <n v="75.700071925977809"/>
    <n v="83.967393999999956"/>
    <n v="609.82707867572367"/>
    <n v="495.12999999999971"/>
    <n v="114.69707867572396"/>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m/>
    <m/>
  </r>
  <r>
    <n v="75"/>
    <n v="10"/>
    <x v="1"/>
    <s v="GEM"/>
    <s v="AP00060"/>
    <n v="436666"/>
    <n v="758199"/>
    <s v="DROPPOINT RATE ADJUSTMENT"/>
    <n v="2020"/>
    <x v="0"/>
    <x v="2"/>
    <m/>
    <n v="90.92296752"/>
    <n v="1237.8826233631978"/>
    <n v="1074.9684000000002"/>
    <n v="162.91422336319764"/>
    <n v="137.76207199999999"/>
    <n v="1875.5797323684815"/>
    <n v="1628.7400000000002"/>
    <n v="246.83973236848124"/>
    <m/>
    <m/>
  </r>
  <r>
    <n v="76"/>
    <n v="10"/>
    <x v="1"/>
    <s v="GEM"/>
    <s v="AP00060"/>
    <n v="436666"/>
    <n v="758199"/>
    <s v="DROPPOINT RATE ADJUSTMENT"/>
    <n v="2020"/>
    <x v="1"/>
    <x v="3"/>
    <m/>
    <n v="59.935758959999966"/>
    <n v="515.81347093910176"/>
    <n v="423.52859999999981"/>
    <n v="92.284870939101907"/>
    <n v="90.811755999999946"/>
    <n v="781.53556202894197"/>
    <n v="641.7099999999997"/>
    <n v="139.82556202894227"/>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m/>
    <m/>
  </r>
  <r>
    <n v="86"/>
    <n v="11"/>
    <x v="1"/>
    <s v="GEM"/>
    <s v="AP00060"/>
    <n v="436668"/>
    <n v="758199"/>
    <s v="DROPPOINT RATE ADJUSTMENT"/>
    <n v="2020"/>
    <x v="0"/>
    <x v="1"/>
    <m/>
    <n v="292.90337075999997"/>
    <n v="1514.4624181882075"/>
    <n v="1445.0501999999988"/>
    <n v="69.412218188208655"/>
    <n v="443.79298599999993"/>
    <n v="2294.6400275578899"/>
    <n v="2189.469999999998"/>
    <n v="105.1700275578919"/>
    <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m/>
    <m/>
  </r>
  <r>
    <n v="88"/>
    <n v="11"/>
    <x v="1"/>
    <s v="GEM"/>
    <s v="AP00060"/>
    <n v="436668"/>
    <n v="758199"/>
    <s v="DROPPOINT RATE ADJUSTMENT"/>
    <n v="2020"/>
    <x v="1"/>
    <x v="3"/>
    <m/>
    <n v="301.63736987999982"/>
    <n v="3384.6201069579834"/>
    <n v="3047.3322000000012"/>
    <n v="337.28790695798187"/>
    <n v="457.02631799999972"/>
    <n v="5128.2122832696714"/>
    <n v="4617.1700000000019"/>
    <n v="511.0422832696695"/>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m/>
    <m/>
  </r>
  <r>
    <n v="99"/>
    <n v="12"/>
    <x v="1"/>
    <s v="GEM"/>
    <s v="AP00060"/>
    <n v="436671"/>
    <n v="758199"/>
    <s v="DROPPOINT RATE ADJUSTMENT"/>
    <n v="2020"/>
    <x v="0"/>
    <x v="2"/>
    <m/>
    <n v="55.436276279999987"/>
    <n v="489.74829965702128"/>
    <n v="428.5379999999999"/>
    <n v="61.21029965702138"/>
    <n v="83.994357999999977"/>
    <n v="742.04287826821405"/>
    <n v="649.29999999999984"/>
    <n v="92.742878268214213"/>
    <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m/>
    <m/>
  </r>
  <r>
    <n v="112"/>
    <n v="13"/>
    <x v="1"/>
    <s v="GEM"/>
    <s v="AP00060"/>
    <n v="436672"/>
    <n v="758199"/>
    <s v="DROPPOINT RATE ADJUSTMENT"/>
    <n v="2020"/>
    <x v="1"/>
    <x v="3"/>
    <m/>
    <n v="559.92013307999957"/>
    <n v="5164.5860141744433"/>
    <n v="4581.7793999999985"/>
    <n v="582.8066141744448"/>
    <n v="848.3638379999993"/>
    <n v="7825.130324506732"/>
    <n v="6942.0899999999974"/>
    <n v="883.04032450673458"/>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Cache/pivotCacheRecords3.xml><?xml version="1.0" encoding="utf-8"?>
<pivotCacheRecords xmlns="http://schemas.openxmlformats.org/spreadsheetml/2006/main" xmlns:r="http://schemas.openxmlformats.org/officeDocument/2006/relationships"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8"/>
    <n v="798.6"/>
    <n v="1973.5774079999999"/>
    <n v="3170.6334960000008"/>
    <n v="4200.2687999999998"/>
    <n v="1210"/>
    <n v="2990.2687999999998"/>
    <s v="Long-term"/>
    <m/>
  </r>
  <r>
    <n v="3"/>
    <n v="1"/>
    <x v="0"/>
    <s v="MERCK"/>
    <s v="AP00486"/>
    <n v="300493"/>
    <n v="758199"/>
    <s v="ANDREW VOLUME SWITCH TO CHILLFREEZE"/>
    <n v="2020"/>
    <x v="0"/>
    <x v="2"/>
    <m/>
    <n v="1523.33219016"/>
    <n v="3465.2217600000004"/>
    <n v="925.65000000000009"/>
    <n v="2539.5717600000003"/>
    <n v="2308.079076"/>
    <n v="5250.3360000000002"/>
    <n v="1402.5"/>
    <n v="3847.8360000000002"/>
    <s v="Long-term"/>
    <m/>
  </r>
  <r>
    <n v="4"/>
    <n v="1"/>
    <x v="0"/>
    <s v="MERCK"/>
    <s v="AP00486"/>
    <n v="300493"/>
    <n v="758199"/>
    <s v="ANDREW VOLUME SWITCH TO CHILLFREEZE"/>
    <n v="2020"/>
    <x v="1"/>
    <x v="3"/>
    <m/>
    <n v="1069.7029899600002"/>
    <n v="0"/>
    <n v="0"/>
    <n v="0"/>
    <n v="1620.7621060000001"/>
    <m/>
    <m/>
    <m/>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14.8388"/>
    <n v="1334.0803434146344"/>
    <n v="19.241543414634236"/>
    <n v="53.937600000000202"/>
    <n v="1992.18"/>
    <n v="2021.3338536585368"/>
    <n v="29.153853658536718"/>
    <s v="Long-term"/>
    <m/>
  </r>
  <r>
    <n v="16"/>
    <n v="3"/>
    <x v="0"/>
    <s v="MERCK"/>
    <s v="AP00487"/>
    <n v="300493"/>
    <n v="758199"/>
    <s v="TNT UPRATE 4% TO 2.5%"/>
    <n v="2020"/>
    <x v="0"/>
    <x v="1"/>
    <m/>
    <n v="22.754852999999976"/>
    <n v="20734.381799999999"/>
    <n v="21037.811777560979"/>
    <n v="303.42997756097668"/>
    <n v="34.477049999999963"/>
    <n v="31415.73"/>
    <n v="31875.472390243904"/>
    <n v="459.74239024390408"/>
    <s v="Long-term"/>
    <m/>
  </r>
  <r>
    <n v="17"/>
    <n v="3"/>
    <x v="0"/>
    <s v="MERCK"/>
    <s v="AP00488"/>
    <n v="300493"/>
    <n v="758199"/>
    <s v="TNT UPRATE 4% TO 2.5%"/>
    <n v="2020"/>
    <x v="0"/>
    <x v="2"/>
    <m/>
    <n v="20.705553000000265"/>
    <n v="1352.9208000000001"/>
    <n v="1372.71964097561"/>
    <n v="19.798840975609938"/>
    <n v="31.372050000000399"/>
    <n v="2049.88"/>
    <n v="2079.8782439024394"/>
    <n v="29.998243902439299"/>
    <s v="Long-term"/>
    <m/>
  </r>
  <r>
    <n v="18"/>
    <n v="3"/>
    <x v="0"/>
    <s v="MERCK"/>
    <s v="AP00489"/>
    <n v="300493"/>
    <n v="758199"/>
    <s v="TNT UPRATE 4% TO 2.5%"/>
    <n v="2020"/>
    <x v="1"/>
    <x v="3"/>
    <m/>
    <n v="30.396564000000428"/>
    <n v="0"/>
    <n v="0"/>
    <n v="0"/>
    <n v="46.055400000000645"/>
    <m/>
    <m/>
    <m/>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29.5540000000001"/>
    <n v="4169.6467572815536"/>
    <n v="40.092757281553645"/>
    <n v="279.80500000000029"/>
    <n v="6256.9"/>
    <n v="6317.6466019417476"/>
    <n v="60.74660194174794"/>
    <s v="Long-term"/>
    <m/>
  </r>
  <r>
    <n v="28"/>
    <n v="4"/>
    <x v="0"/>
    <s v="MERCK"/>
    <s v="AP00498"/>
    <n v="300493"/>
    <n v="758199"/>
    <s v="STAR TRACK UPRATE 4% TO 3%"/>
    <n v="2020"/>
    <x v="0"/>
    <x v="1"/>
    <m/>
    <n v="278.53986599999757"/>
    <n v="8317.623599999999"/>
    <n v="8398.3772271844664"/>
    <n v="80.753627184465813"/>
    <n v="422.03009999999631"/>
    <n v="12602.46"/>
    <n v="12724.813980582523"/>
    <n v="122.35398058252395"/>
    <s v="Long-term"/>
    <m/>
  </r>
  <r>
    <n v="29"/>
    <n v="4"/>
    <x v="0"/>
    <s v="MERCK"/>
    <s v="AP00499"/>
    <n v="300493"/>
    <n v="758199"/>
    <s v="STAR TRACK UPRATE 4% TO 3%"/>
    <n v="2020"/>
    <x v="0"/>
    <x v="2"/>
    <m/>
    <n v="256.45788346200163"/>
    <n v="8255.2667999999994"/>
    <n v="8335.4150213592238"/>
    <n v="80.148221359224053"/>
    <n v="388.57255070000247"/>
    <n v="12507.98"/>
    <n v="12629.416699029127"/>
    <n v="121.43669902912734"/>
    <s v="Long-term"/>
    <m/>
  </r>
  <r>
    <n v="30"/>
    <n v="4"/>
    <x v="0"/>
    <s v="MERCK"/>
    <s v="AP00500"/>
    <n v="300493"/>
    <n v="758199"/>
    <s v="STAR TRACK UPRATE 4% TO 3%"/>
    <n v="2020"/>
    <x v="1"/>
    <x v="3"/>
    <m/>
    <n v="186.58149562799926"/>
    <n v="0"/>
    <n v="0"/>
    <n v="0"/>
    <n v="282.69923579999886"/>
    <m/>
    <m/>
    <m/>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34.75520000000006"/>
    <n v="452.14540800000003"/>
    <n v="17.390207999999991"/>
    <n v="15.3048"/>
    <n v="658.72"/>
    <n v="685.06880000000001"/>
    <n v="26.348799999999983"/>
    <s v="Long-term"/>
    <m/>
  </r>
  <r>
    <n v="40"/>
    <n v="5"/>
    <x v="0"/>
    <s v="MERCK"/>
    <s v="AP00508"/>
    <n v="300493"/>
    <n v="758199"/>
    <s v="DIRECT COURIER UPRATE 4% TO NO INCREASE"/>
    <n v="2020"/>
    <x v="0"/>
    <x v="1"/>
    <m/>
    <n v="11.255376000000012"/>
    <n v="1519.1022"/>
    <n v="1579.8662880000002"/>
    <n v="60.764088000000044"/>
    <n v="17.053600000000017"/>
    <n v="2301.67"/>
    <n v="2393.7368000000001"/>
    <n v="92.066800000000057"/>
    <s v="Long-term"/>
    <m/>
  </r>
  <r>
    <n v="41"/>
    <n v="5"/>
    <x v="0"/>
    <s v="MERCK"/>
    <s v="AP00508"/>
    <n v="300493"/>
    <n v="758199"/>
    <s v="DIRECT COURIER UPRATE 4% TO NO INCREASE"/>
    <n v="2020"/>
    <x v="0"/>
    <x v="2"/>
    <m/>
    <n v="73.532711999999975"/>
    <n v="2003.6741999999999"/>
    <n v="2083.8211679999999"/>
    <n v="80.146968000000001"/>
    <n v="111.41319999999996"/>
    <n v="3035.87"/>
    <n v="3157.3047999999999"/>
    <n v="121.4348"/>
    <s v="Long-term"/>
    <m/>
  </r>
  <r>
    <n v="42"/>
    <n v="5"/>
    <x v="0"/>
    <s v="MERCK"/>
    <s v="AP00508"/>
    <n v="300493"/>
    <n v="758199"/>
    <s v="DIRECT COURIER UPRATE 4% TO NO INCREASE"/>
    <n v="2020"/>
    <x v="1"/>
    <x v="3"/>
    <m/>
    <n v="27.030014880000074"/>
    <n v="0"/>
    <n v="0"/>
    <n v="0"/>
    <n v="40.954568000000108"/>
    <m/>
    <m/>
    <m/>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26.538600000000002"/>
    <n v="47.672687605777128"/>
    <n v="21.134087605777125"/>
    <n v="0"/>
    <n v="40.21"/>
    <n v="72.231344857238071"/>
    <n v="32.02134485723807"/>
    <s v="Once-off"/>
    <m/>
  </r>
  <r>
    <n v="52"/>
    <n v="2"/>
    <x v="1"/>
    <s v="EXTREME"/>
    <s v="AP00052"/>
    <n v="436668"/>
    <n v="758199"/>
    <s v="TOLL PRIORITY OVERNIGHT SWITCH TO STAR TRACK"/>
    <n v="2020"/>
    <x v="0"/>
    <x v="1"/>
    <m/>
    <n v="0"/>
    <n v="36.999600000000001"/>
    <n v="82.272625931403212"/>
    <n v="45.273025931403204"/>
    <n v="0"/>
    <n v="56.06"/>
    <n v="124.6554938354594"/>
    <n v="68.595493835459393"/>
    <s v="Once-off"/>
    <m/>
  </r>
  <r>
    <n v="53"/>
    <n v="3"/>
    <x v="1"/>
    <s v="EXTREME"/>
    <s v="AP00052"/>
    <n v="436672"/>
    <n v="758199"/>
    <s v="TOLL PRIORITY OVERNIGHT SWITCH TO STAR TRACK"/>
    <n v="2020"/>
    <x v="0"/>
    <x v="1"/>
    <m/>
    <n v="0"/>
    <n v="156.83580000000001"/>
    <n v="333.25449936312873"/>
    <n v="176.41869936312872"/>
    <n v="0"/>
    <n v="237.63"/>
    <n v="504.93105964110413"/>
    <n v="267.30105964110413"/>
    <s v="Once-off"/>
    <m/>
  </r>
  <r>
    <n v="54"/>
    <n v="4"/>
    <x v="1"/>
    <s v="JUNIPERB"/>
    <s v="AP00087"/>
    <n v="436666"/>
    <n v="758199"/>
    <s v="TOLL PRIORITY OVERNIGHT SWITCH TO STAR TRACK"/>
    <n v="2020"/>
    <x v="0"/>
    <x v="2"/>
    <m/>
    <n v="0"/>
    <n v="16.724399999999999"/>
    <n v="50.092496414439864"/>
    <n v="33.368096414439862"/>
    <n v="0"/>
    <n v="25.34"/>
    <n v="75.897721840060399"/>
    <n v="50.557721840060395"/>
    <s v="Once-off"/>
    <m/>
  </r>
  <r>
    <n v="55"/>
    <n v="5"/>
    <x v="1"/>
    <s v="JUNIPERC"/>
    <s v="AP00087"/>
    <n v="436667"/>
    <n v="758199"/>
    <s v="TOLL PRIORITY OVERNIGHT SWITCH TO STAR TRACK"/>
    <n v="2020"/>
    <x v="0"/>
    <x v="1"/>
    <m/>
    <n v="0"/>
    <n v="24.915000000000003"/>
    <n v="55.395343521627844"/>
    <n v="30.480343521627841"/>
    <n v="0"/>
    <n v="37.75"/>
    <n v="83.932338669133088"/>
    <n v="46.182338669133088"/>
    <s v="Once-off"/>
    <m/>
  </r>
  <r>
    <n v="56"/>
    <n v="6"/>
    <x v="1"/>
    <s v="JUNIPERM"/>
    <s v="AP00087"/>
    <n v="436668"/>
    <n v="758199"/>
    <s v="TOLL PRIORITY OVERNIGHT SWITCH TO STAR TRACK"/>
    <n v="2020"/>
    <x v="0"/>
    <x v="1"/>
    <m/>
    <n v="0"/>
    <n v="330.15840000000003"/>
    <n v="703.89007329043807"/>
    <n v="373.73167329043804"/>
    <n v="0"/>
    <n v="500.24"/>
    <n v="1066.5001110461183"/>
    <n v="566.26011104611825"/>
    <s v="Once-off"/>
    <m/>
  </r>
  <r>
    <n v="57"/>
    <n v="6"/>
    <x v="1"/>
    <s v="JUNIPERM"/>
    <s v="AP00087"/>
    <n v="436668"/>
    <n v="758199"/>
    <s v="TOLL PRIORITY OVERNIGHT SWITCH TO STAR TRACK"/>
    <n v="2020"/>
    <x v="0"/>
    <x v="2"/>
    <m/>
    <n v="0"/>
    <n v="7.1676000000000002"/>
    <n v="16.586871814586615"/>
    <n v="9.4192718145866152"/>
    <n v="0"/>
    <n v="10.86"/>
    <n v="25.131623961494871"/>
    <n v="14.271623961494871"/>
    <s v="Once-off"/>
    <m/>
  </r>
  <r>
    <n v="58"/>
    <n v="7"/>
    <x v="1"/>
    <s v="JUNIPERS"/>
    <s v="AP00087"/>
    <n v="436672"/>
    <n v="758199"/>
    <s v="TOLL PRIORITY OVERNIGHT SWITCH TO STAR TRACK"/>
    <n v="2020"/>
    <x v="0"/>
    <x v="1"/>
    <m/>
    <n v="0"/>
    <n v="2717.8536000000004"/>
    <n v="6054.3112352126564"/>
    <n v="3336.457635212656"/>
    <n v="0"/>
    <n v="4117.96"/>
    <n v="9173.1988412312967"/>
    <n v="5055.2388412312966"/>
    <s v="Once-off"/>
    <m/>
  </r>
  <r>
    <n v="59"/>
    <n v="7"/>
    <x v="1"/>
    <s v="JUNIPERS"/>
    <s v="AP00087"/>
    <n v="436672"/>
    <n v="758199"/>
    <s v="TOLL PRIORITY OVERNIGHT SWITCH TO STAR TRACK"/>
    <n v="2020"/>
    <x v="0"/>
    <x v="2"/>
    <m/>
    <n v="0"/>
    <n v="359.6472"/>
    <n v="943.56247134244165"/>
    <n v="583.91527134244166"/>
    <n v="0"/>
    <n v="544.91999999999996"/>
    <n v="1429.6401080946084"/>
    <n v="884.72010809460846"/>
    <s v="Once-off"/>
    <m/>
  </r>
  <r>
    <n v="60"/>
    <n v="8"/>
    <x v="1"/>
    <s v="RUCKS"/>
    <s v="AP00521"/>
    <n v="436672"/>
    <n v="758199"/>
    <s v="TOLL PRIORITY OVERNIGHT SWITCH TO STAR TRACK"/>
    <n v="2020"/>
    <x v="0"/>
    <x v="1"/>
    <m/>
    <n v="0"/>
    <n v="96.195000000000007"/>
    <n v="187.07757061096862"/>
    <n v="90.882570610968628"/>
    <n v="0"/>
    <n v="145.75"/>
    <n v="283.45086456207366"/>
    <n v="137.70086456207366"/>
    <s v="Once-off"/>
    <m/>
  </r>
  <r>
    <n v="61"/>
    <n v="9"/>
    <x v="1"/>
    <s v="GEM"/>
    <s v="AP00060"/>
    <n v="436665"/>
    <n v="758199"/>
    <s v="DROPPOINT RATE ADJUSTMENT"/>
    <n v="2020"/>
    <x v="0"/>
    <x v="0"/>
    <m/>
    <n v="48.882316559999971"/>
    <n v="202.65960000000001"/>
    <n v="258.46275104477616"/>
    <n v="55.803151044776165"/>
    <n v="74.064115999999956"/>
    <n v="307.06"/>
    <n v="391.61022885572146"/>
    <n v="84.550228855721457"/>
    <m/>
    <m/>
  </r>
  <r>
    <n v="62"/>
    <n v="9"/>
    <x v="1"/>
    <s v="GEM"/>
    <s v="AP00060"/>
    <n v="436665"/>
    <n v="758199"/>
    <s v="DROPPOINT RATE ADJUSTMENT"/>
    <n v="2020"/>
    <x v="0"/>
    <x v="1"/>
    <m/>
    <n v="62.347149479999992"/>
    <n v="247.73100000000002"/>
    <n v="263.46708845247451"/>
    <n v="15.736088452474498"/>
    <n v="94.465377999999987"/>
    <n v="375.35"/>
    <n v="399.19255826132502"/>
    <n v="23.842558261324996"/>
    <m/>
    <m/>
  </r>
  <r>
    <n v="63"/>
    <n v="9"/>
    <x v="1"/>
    <s v="GEM"/>
    <s v="AP00060"/>
    <n v="436665"/>
    <n v="758199"/>
    <s v="DROPPOINT RATE ADJUSTMENT"/>
    <n v="2020"/>
    <x v="0"/>
    <x v="2"/>
    <m/>
    <n v="80.736597479999986"/>
    <n v="242.48399999999995"/>
    <n v="315.98749328493642"/>
    <n v="73.503493284936482"/>
    <n v="122.32817799999998"/>
    <n v="367.39999999999992"/>
    <n v="478.76892921960064"/>
    <n v="111.36892921960072"/>
    <m/>
    <m/>
  </r>
  <r>
    <n v="64"/>
    <n v="9"/>
    <x v="1"/>
    <s v="GEM"/>
    <s v="AP00060"/>
    <n v="436665"/>
    <n v="758199"/>
    <s v="DROPPOINT RATE ADJUSTMENT"/>
    <n v="2020"/>
    <x v="1"/>
    <x v="3"/>
    <m/>
    <n v="55.41848003999997"/>
    <n v="0"/>
    <n v="0"/>
    <n v="0"/>
    <n v="83.967393999999956"/>
    <m/>
    <m/>
    <m/>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01.5342"/>
    <n v="357.14521858175573"/>
    <n v="55.611018581755737"/>
    <n v="152.02602799999988"/>
    <n v="456.86999999999995"/>
    <n v="541.12911906326622"/>
    <n v="84.259119063266269"/>
    <m/>
    <m/>
  </r>
  <r>
    <n v="74"/>
    <n v="10"/>
    <x v="1"/>
    <s v="GEM"/>
    <s v="AP00060"/>
    <n v="436666"/>
    <n v="758199"/>
    <s v="DROPPOINT RATE ADJUSTMENT"/>
    <n v="2020"/>
    <x v="0"/>
    <x v="1"/>
    <m/>
    <n v="113.05753535999995"/>
    <n v="234.80159999999992"/>
    <n v="244.55173781528956"/>
    <n v="9.7501378152896212"/>
    <n v="171.29929599999991"/>
    <n v="355.75999999999988"/>
    <n v="370.53293608377203"/>
    <n v="14.772936083772152"/>
    <m/>
    <m/>
  </r>
  <r>
    <n v="75"/>
    <n v="10"/>
    <x v="1"/>
    <s v="GEM"/>
    <s v="AP00060"/>
    <n v="436666"/>
    <n v="758199"/>
    <s v="DROPPOINT RATE ADJUSTMENT"/>
    <n v="2020"/>
    <x v="0"/>
    <x v="2"/>
    <m/>
    <n v="90.92296752"/>
    <n v="1074.9684000000002"/>
    <n v="1237.8826233631978"/>
    <n v="162.91422336319764"/>
    <n v="137.76207199999999"/>
    <n v="1628.7400000000002"/>
    <n v="1875.5797323684815"/>
    <n v="246.83973236848124"/>
    <m/>
    <m/>
  </r>
  <r>
    <n v="76"/>
    <n v="10"/>
    <x v="1"/>
    <s v="GEM"/>
    <s v="AP00060"/>
    <n v="436666"/>
    <n v="758199"/>
    <s v="DROPPOINT RATE ADJUSTMENT"/>
    <n v="2020"/>
    <x v="1"/>
    <x v="3"/>
    <m/>
    <n v="59.935758959999966"/>
    <n v="0"/>
    <n v="0"/>
    <n v="0"/>
    <n v="90.811755999999946"/>
    <m/>
    <m/>
    <m/>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258.3890000000006"/>
    <n v="1606.1012408660304"/>
    <n v="347.7122408660299"/>
    <n v="389.50995999999986"/>
    <n v="1906.6500000000008"/>
    <n v="2433.4867285848945"/>
    <n v="526.83672858489376"/>
    <m/>
    <m/>
  </r>
  <r>
    <n v="86"/>
    <n v="11"/>
    <x v="1"/>
    <s v="GEM"/>
    <s v="AP00060"/>
    <n v="436668"/>
    <n v="758199"/>
    <s v="DROPPOINT RATE ADJUSTMENT"/>
    <n v="2020"/>
    <x v="0"/>
    <x v="1"/>
    <m/>
    <n v="292.90337075999997"/>
    <n v="1445.0501999999988"/>
    <n v="1514.4624181882075"/>
    <n v="69.412218188208655"/>
    <n v="443.79298599999993"/>
    <n v="2189.469999999998"/>
    <n v="2294.6400275578899"/>
    <n v="105.1700275578919"/>
    <m/>
    <m/>
  </r>
  <r>
    <n v="87"/>
    <n v="11"/>
    <x v="1"/>
    <s v="GEM"/>
    <s v="AP00060"/>
    <n v="436668"/>
    <n v="758199"/>
    <s v="DROPPOINT RATE ADJUSTMENT"/>
    <n v="2020"/>
    <x v="0"/>
    <x v="2"/>
    <m/>
    <n v="271.69717343999986"/>
    <n v="1609.4760000000006"/>
    <n v="1915.8587338472955"/>
    <n v="306.38273384729496"/>
    <n v="411.66238399999975"/>
    <n v="2438.6000000000008"/>
    <n v="2902.8162634049932"/>
    <n v="464.21626340499233"/>
    <m/>
    <m/>
  </r>
  <r>
    <n v="88"/>
    <n v="11"/>
    <x v="1"/>
    <s v="GEM"/>
    <s v="AP00060"/>
    <n v="436668"/>
    <n v="758199"/>
    <s v="DROPPOINT RATE ADJUSTMENT"/>
    <n v="2020"/>
    <x v="1"/>
    <x v="3"/>
    <m/>
    <n v="301.63736987999982"/>
    <n v="0"/>
    <n v="0"/>
    <n v="0"/>
    <n v="457.02631799999972"/>
    <m/>
    <m/>
    <m/>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353.97779999999995"/>
    <n v="405.78036128962998"/>
    <n v="51.802561289630034"/>
    <n v="19.61181599999999"/>
    <n v="536.32999999999993"/>
    <n v="614.81872922671209"/>
    <n v="78.488729226712167"/>
    <m/>
    <m/>
  </r>
  <r>
    <n v="98"/>
    <n v="12"/>
    <x v="1"/>
    <s v="GEM"/>
    <s v="AP00060"/>
    <n v="436671"/>
    <n v="758199"/>
    <s v="DROPPOINT RATE ADJUSTMENT"/>
    <n v="2020"/>
    <x v="0"/>
    <x v="1"/>
    <m/>
    <n v="37.296964319999979"/>
    <n v="279.94560000000001"/>
    <n v="296.25226934014148"/>
    <n v="16.306669340141511"/>
    <n v="56.510551999999961"/>
    <n v="424.15999999999997"/>
    <n v="448.86707475779014"/>
    <n v="24.707074757790167"/>
    <m/>
    <m/>
  </r>
  <r>
    <n v="99"/>
    <n v="12"/>
    <x v="1"/>
    <s v="GEM"/>
    <s v="AP00060"/>
    <n v="436671"/>
    <n v="758199"/>
    <s v="DROPPOINT RATE ADJUSTMENT"/>
    <n v="2020"/>
    <x v="0"/>
    <x v="2"/>
    <m/>
    <n v="55.436276279999987"/>
    <n v="428.5379999999999"/>
    <n v="489.74829965702128"/>
    <n v="61.21029965702138"/>
    <n v="83.994357999999977"/>
    <n v="649.29999999999984"/>
    <n v="742.04287826821405"/>
    <n v="92.742878268214213"/>
    <m/>
    <m/>
  </r>
  <r>
    <n v="100"/>
    <n v="12"/>
    <x v="1"/>
    <s v="GEM"/>
    <s v="AP00060"/>
    <n v="436671"/>
    <n v="758199"/>
    <s v="DROPPOINT RATE ADJUSTMENT"/>
    <n v="2020"/>
    <x v="1"/>
    <x v="3"/>
    <m/>
    <n v="33.016968600000006"/>
    <n v="0"/>
    <n v="0"/>
    <n v="0"/>
    <n v="50.025710000000004"/>
    <m/>
    <m/>
    <m/>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3857.0664000000043"/>
    <n v="4449.3550480540416"/>
    <n v="592.2886480540368"/>
    <n v="958.74246999999923"/>
    <n v="5844.0400000000063"/>
    <n v="6741.4470425061227"/>
    <n v="897.40704250611634"/>
    <m/>
    <m/>
  </r>
  <r>
    <n v="110"/>
    <n v="13"/>
    <x v="1"/>
    <s v="GEM"/>
    <s v="AP00060"/>
    <n v="436672"/>
    <n v="758199"/>
    <s v="DROPPOINT RATE ADJUSTMENT"/>
    <n v="2020"/>
    <x v="0"/>
    <x v="1"/>
    <m/>
    <n v="674.99951903999954"/>
    <n v="4602.7548599999973"/>
    <n v="4768.955956653409"/>
    <n v="166.20109665341133"/>
    <n v="1022.7265439999992"/>
    <n v="6973.8709999999955"/>
    <n v="7225.6908434142551"/>
    <n v="251.81984341425959"/>
    <m/>
    <m/>
  </r>
  <r>
    <n v="111"/>
    <n v="13"/>
    <x v="1"/>
    <s v="GEM"/>
    <s v="AP00060"/>
    <n v="436672"/>
    <n v="758199"/>
    <s v="DROPPOINT RATE ADJUSTMENT"/>
    <n v="2020"/>
    <x v="0"/>
    <x v="2"/>
    <m/>
    <n v="593.99696663999953"/>
    <n v="5087.1875999999929"/>
    <n v="5620.5201467425049"/>
    <n v="533.33254674251225"/>
    <n v="899.99540399999933"/>
    <n v="7707.8599999999888"/>
    <n v="8515.9396162765224"/>
    <n v="808.07961627653367"/>
    <m/>
    <m/>
  </r>
  <r>
    <n v="112"/>
    <n v="13"/>
    <x v="1"/>
    <s v="GEM"/>
    <s v="AP00060"/>
    <n v="436672"/>
    <n v="758199"/>
    <s v="DROPPOINT RATE ADJUSTMENT"/>
    <n v="2020"/>
    <x v="1"/>
    <x v="3"/>
    <m/>
    <n v="559.92013307999957"/>
    <n v="0"/>
    <n v="0"/>
    <n v="0"/>
    <n v="848.3638379999993"/>
    <m/>
    <m/>
    <m/>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Cache/pivotCacheRecords4.xml><?xml version="1.0" encoding="utf-8"?>
<pivotCacheRecords xmlns="http://schemas.openxmlformats.org/spreadsheetml/2006/main" xmlns:r="http://schemas.openxmlformats.org/officeDocument/2006/relationships"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m/>
    <m/>
  </r>
  <r>
    <n v="62"/>
    <n v="9"/>
    <x v="1"/>
    <s v="GEM"/>
    <s v="AP00060"/>
    <n v="436665"/>
    <n v="758199"/>
    <s v="DROPPOINT RATE ADJUSTMENT"/>
    <n v="2020"/>
    <x v="0"/>
    <x v="1"/>
    <m/>
    <n v="62.347149479999992"/>
    <n v="263.46708845247451"/>
    <n v="247.73100000000002"/>
    <n v="15.736088452474498"/>
    <n v="94.465377999999987"/>
    <n v="399.19255826132502"/>
    <n v="375.35"/>
    <n v="23.842558261324996"/>
    <m/>
    <m/>
  </r>
  <r>
    <n v="63"/>
    <n v="9"/>
    <x v="1"/>
    <s v="GEM"/>
    <s v="AP00060"/>
    <n v="436665"/>
    <n v="758199"/>
    <s v="DROPPOINT RATE ADJUSTMENT"/>
    <n v="2020"/>
    <x v="0"/>
    <x v="2"/>
    <m/>
    <n v="80.736597479999986"/>
    <n v="315.98749328493642"/>
    <n v="242.48399999999995"/>
    <n v="73.503493284936482"/>
    <n v="122.32817799999998"/>
    <n v="478.76892921960064"/>
    <n v="367.39999999999992"/>
    <n v="111.36892921960072"/>
    <m/>
    <m/>
  </r>
  <r>
    <n v="64"/>
    <n v="9"/>
    <x v="1"/>
    <s v="GEM"/>
    <s v="AP00060"/>
    <n v="436665"/>
    <n v="758199"/>
    <s v="DROPPOINT RATE ADJUSTMENT"/>
    <n v="2020"/>
    <x v="1"/>
    <x v="3"/>
    <m/>
    <n v="55.41848003999997"/>
    <n v="402.48587192597762"/>
    <n v="326.78579999999982"/>
    <n v="75.700071925977809"/>
    <n v="83.967393999999956"/>
    <n v="609.82707867572367"/>
    <n v="495.12999999999971"/>
    <n v="114.69707867572396"/>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m/>
    <m/>
  </r>
  <r>
    <n v="75"/>
    <n v="10"/>
    <x v="1"/>
    <s v="GEM"/>
    <s v="AP00060"/>
    <n v="436666"/>
    <n v="758199"/>
    <s v="DROPPOINT RATE ADJUSTMENT"/>
    <n v="2020"/>
    <x v="0"/>
    <x v="2"/>
    <m/>
    <n v="90.92296752"/>
    <n v="1237.8826233631978"/>
    <n v="1074.9684000000002"/>
    <n v="162.91422336319764"/>
    <n v="137.76207199999999"/>
    <n v="1875.5797323684815"/>
    <n v="1628.7400000000002"/>
    <n v="246.83973236848124"/>
    <m/>
    <m/>
  </r>
  <r>
    <n v="76"/>
    <n v="10"/>
    <x v="1"/>
    <s v="GEM"/>
    <s v="AP00060"/>
    <n v="436666"/>
    <n v="758199"/>
    <s v="DROPPOINT RATE ADJUSTMENT"/>
    <n v="2020"/>
    <x v="1"/>
    <x v="3"/>
    <m/>
    <n v="59.935758959999966"/>
    <n v="515.81347093910176"/>
    <n v="423.52859999999981"/>
    <n v="92.284870939101907"/>
    <n v="90.811755999999946"/>
    <n v="781.53556202894197"/>
    <n v="641.7099999999997"/>
    <n v="139.82556202894227"/>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m/>
    <m/>
  </r>
  <r>
    <n v="86"/>
    <n v="11"/>
    <x v="1"/>
    <s v="GEM"/>
    <s v="AP00060"/>
    <n v="436668"/>
    <n v="758199"/>
    <s v="DROPPOINT RATE ADJUSTMENT"/>
    <n v="2020"/>
    <x v="0"/>
    <x v="1"/>
    <m/>
    <n v="292.90337075999997"/>
    <n v="1514.4624181882075"/>
    <n v="1445.0501999999988"/>
    <n v="69.412218188208655"/>
    <n v="443.79298599999993"/>
    <n v="2294.6400275578899"/>
    <n v="2189.469999999998"/>
    <n v="105.1700275578919"/>
    <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m/>
    <m/>
  </r>
  <r>
    <n v="88"/>
    <n v="11"/>
    <x v="1"/>
    <s v="GEM"/>
    <s v="AP00060"/>
    <n v="436668"/>
    <n v="758199"/>
    <s v="DROPPOINT RATE ADJUSTMENT"/>
    <n v="2020"/>
    <x v="1"/>
    <x v="3"/>
    <m/>
    <n v="301.63736987999982"/>
    <n v="3384.6201069579834"/>
    <n v="3047.3322000000012"/>
    <n v="337.28790695798187"/>
    <n v="457.02631799999972"/>
    <n v="5128.2122832696714"/>
    <n v="4617.1700000000019"/>
    <n v="511.0422832696695"/>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m/>
    <m/>
  </r>
  <r>
    <n v="99"/>
    <n v="12"/>
    <x v="1"/>
    <s v="GEM"/>
    <s v="AP00060"/>
    <n v="436671"/>
    <n v="758199"/>
    <s v="DROPPOINT RATE ADJUSTMENT"/>
    <n v="2020"/>
    <x v="0"/>
    <x v="2"/>
    <m/>
    <n v="55.436276279999987"/>
    <n v="489.74829965702128"/>
    <n v="428.5379999999999"/>
    <n v="61.21029965702138"/>
    <n v="83.994357999999977"/>
    <n v="742.04287826821405"/>
    <n v="649.29999999999984"/>
    <n v="92.742878268214213"/>
    <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m/>
    <m/>
  </r>
  <r>
    <n v="112"/>
    <n v="13"/>
    <x v="1"/>
    <s v="GEM"/>
    <s v="AP00060"/>
    <n v="436672"/>
    <n v="758199"/>
    <s v="DROPPOINT RATE ADJUSTMENT"/>
    <n v="2020"/>
    <x v="1"/>
    <x v="3"/>
    <m/>
    <n v="559.92013307999957"/>
    <n v="5164.5860141744433"/>
    <n v="4581.7793999999985"/>
    <n v="582.8066141744448"/>
    <n v="848.3638379999993"/>
    <n v="7825.130324506732"/>
    <n v="6942.0899999999974"/>
    <n v="883.04032450673458"/>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912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Sector/Month">
  <location ref="A6:D33" firstHeaderRow="0" firstDataRow="1" firstDataCol="1"/>
  <pivotFields count="22">
    <pivotField showAll="0"/>
    <pivotField showAll="0"/>
    <pivotField axis="axisRow" showAll="0">
      <items count="3">
        <item x="0"/>
        <item x="1"/>
        <item t="default"/>
      </items>
    </pivotField>
    <pivotField showAll="0"/>
    <pivotField showAll="0"/>
    <pivotField showAll="0"/>
    <pivotField showAll="0"/>
    <pivotField showAll="0"/>
    <pivotField showAll="0"/>
    <pivotField showAll="0">
      <items count="5">
        <item x="0"/>
        <item x="1"/>
        <item x="2"/>
        <item x="3"/>
        <item t="default"/>
      </items>
    </pivotField>
    <pivotField axis="axisRow" showAll="0">
      <items count="13">
        <item x="0"/>
        <item x="1"/>
        <item x="2"/>
        <item x="3"/>
        <item x="4"/>
        <item x="5"/>
        <item x="6"/>
        <item x="7"/>
        <item x="8"/>
        <item x="9"/>
        <item x="10"/>
        <item x="11"/>
        <item t="default"/>
      </items>
    </pivotField>
    <pivotField dataField="1" showAll="0"/>
    <pivotField dataField="1" numFmtId="165" showAll="0"/>
    <pivotField numFmtId="165" showAll="0"/>
    <pivotField numFmtId="165" showAll="0"/>
    <pivotField dataField="1" numFmtId="165" showAll="0"/>
    <pivotField numFmtId="166" showAll="0"/>
    <pivotField showAll="0"/>
    <pivotField showAll="0"/>
    <pivotField showAll="0"/>
    <pivotField showAll="0"/>
    <pivotField showAll="0"/>
  </pivotFields>
  <rowFields count="2">
    <field x="2"/>
    <field x="10"/>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2"/>
  </colFields>
  <colItems count="3">
    <i>
      <x/>
    </i>
    <i i="1">
      <x v="1"/>
    </i>
    <i i="2">
      <x v="2"/>
    </i>
  </colItems>
  <dataFields count="3">
    <dataField name="Sum of Target Saving USD" fld="11" baseField="2" baseItem="0" numFmtId="165"/>
    <dataField name="Sum of Forecast Saving USD" fld="12" baseField="10" baseItem="2" numFmtId="165"/>
    <dataField name="Sum of Actual Saving USD" fld="15" baseField="2" baseItem="0" numFmtId="165"/>
  </dataFields>
  <formats count="9">
    <format dxfId="0">
      <pivotArea type="all" dataOnly="0" outline="0" fieldPosition="0"/>
    </format>
    <format dxfId="1">
      <pivotArea outline="0" collapsedLevelsAreSubtotals="1" fieldPosition="0"/>
    </format>
    <format dxfId="2">
      <pivotArea field="2" type="button" dataOnly="0" labelOnly="1" outline="0" axis="axisRow" fieldPosition="0"/>
    </format>
    <format dxfId="3">
      <pivotArea dataOnly="0" labelOnly="1" fieldPosition="0">
        <references count="1">
          <reference field="2" count="0"/>
        </references>
      </pivotArea>
    </format>
    <format dxfId="4">
      <pivotArea dataOnly="0" labelOnly="1" grandRow="1" outline="0" fieldPosition="0"/>
    </format>
    <format dxfId="5">
      <pivotArea dataOnly="0" labelOnly="1" fieldPosition="0">
        <references count="2">
          <reference field="2" count="1" selected="0">
            <x v="0"/>
          </reference>
          <reference field="10" count="0"/>
        </references>
      </pivotArea>
    </format>
    <format dxfId="6">
      <pivotArea dataOnly="0" labelOnly="1" outline="0" fieldPosition="0">
        <references count="1">
          <reference field="4294967294" count="2">
            <x v="0"/>
            <x v="2"/>
          </reference>
        </references>
      </pivotArea>
    </format>
    <format dxfId="7">
      <pivotArea outline="0" fieldPosition="0">
        <references count="1">
          <reference field="4294967294" count="1">
            <x v="1"/>
          </reference>
        </references>
      </pivotArea>
    </format>
    <format dxfId="8">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Quarter" sourceName="Quarter">
  <data>
    <tabular pivotCacheId="3">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Quarter1" sourceName="Quarter">
  <data>
    <tabular pivotCacheId="4">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Quarter2" sourceName="Quarter">
  <data>
    <tabular pivotCacheId="5">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Quarter11" sourceName="Quarter">
  <pivotTables>
    <pivotTable tabId="15" name="PivotTable1"/>
  </pivotTables>
  <data>
    <tabular pivotCacheId="6">
      <items count="4">
        <i x="0" s="1"/>
        <i x="1" s="1"/>
        <i x="2"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Quarter" cache="Slicer_Quarter" caption="Quarter" columnCount="4" showCaption="0" rowHeight="182880"/>
  <slicer name="Quarter 1" cache="Slicer_Quarter1" caption="Quarter" columnCount="4" showCaption="0" rowHeight="182880"/>
  <slicer name="Quarter 2" cache="Slicer_Quarter2" caption="Quarter" columnCount="4" showCaption="0" rowHeight="182880"/>
  <slicer name="Quarter 3" cache="Slicer_Quarter11" caption="Quarter" columnCount="4" showCaption="0"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8" dT="2022-02-09T06:17:45.02" personId="{050B3F0B-4689-4D7C-82CE-430B0FCA9EAE}" id="{15249559-4E3B-42F8-8401-1BB4AE91F342}">
    <text>Co-work with IE to improve PPH</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B30"/>
  <sheetViews>
    <sheetView tabSelected="1" topLeftCell="E1" zoomScaleNormal="100" workbookViewId="0">
      <selection activeCell="C6" sqref="A6:XFD6"/>
    </sheetView>
  </sheetViews>
  <sheetFormatPr defaultColWidth="8.85546875" defaultRowHeight="14.45"/>
  <cols>
    <col min="1" max="1" width="3.7109375" style="28" customWidth="1"/>
    <col min="2" max="2" width="32.85546875" style="28" bestFit="1" customWidth="1"/>
    <col min="3" max="3" width="28.140625" style="28" bestFit="1" customWidth="1"/>
    <col min="4" max="4" width="14.140625" style="28" bestFit="1" customWidth="1"/>
    <col min="5" max="5" width="12" style="28" bestFit="1" customWidth="1"/>
    <col min="6" max="6" width="11.85546875" style="28" bestFit="1" customWidth="1"/>
    <col min="7" max="7" width="12.5703125" style="28" bestFit="1" customWidth="1"/>
    <col min="8" max="8" width="11" style="28" bestFit="1" customWidth="1"/>
    <col min="9" max="10" width="11.5703125" style="28" bestFit="1" customWidth="1"/>
    <col min="11" max="11" width="12.42578125" style="28" bestFit="1" customWidth="1"/>
    <col min="12" max="12" width="11.28515625" style="28" bestFit="1" customWidth="1"/>
    <col min="13" max="13" width="14.85546875" style="28" customWidth="1"/>
    <col min="14" max="14" width="12.42578125" style="28" bestFit="1" customWidth="1"/>
    <col min="15" max="15" width="11.28515625" style="28" bestFit="1" customWidth="1"/>
    <col min="16" max="16" width="13.28515625" style="28" bestFit="1" customWidth="1"/>
    <col min="17" max="17" width="12.42578125" style="28" bestFit="1" customWidth="1"/>
    <col min="18" max="18" width="11.28515625" style="28" bestFit="1" customWidth="1"/>
    <col min="19" max="19" width="13.28515625" style="28" bestFit="1" customWidth="1"/>
    <col min="20" max="20" width="12.42578125" style="28" bestFit="1" customWidth="1"/>
    <col min="21" max="21" width="11.28515625" style="28" bestFit="1" customWidth="1"/>
    <col min="22" max="22" width="13.28515625" style="28" bestFit="1" customWidth="1"/>
    <col min="23" max="23" width="12.42578125" style="28" bestFit="1" customWidth="1"/>
    <col min="24" max="24" width="11.28515625" style="28" bestFit="1" customWidth="1"/>
    <col min="25" max="25" width="13.28515625" style="28" bestFit="1" customWidth="1"/>
    <col min="26" max="26" width="12.42578125" style="28" bestFit="1" customWidth="1"/>
    <col min="27" max="27" width="11.28515625" style="28" bestFit="1" customWidth="1"/>
    <col min="28" max="28" width="13.28515625" style="28" bestFit="1" customWidth="1"/>
    <col min="29" max="29" width="12.42578125" style="28" bestFit="1" customWidth="1"/>
    <col min="30" max="30" width="11.28515625" style="28" bestFit="1" customWidth="1"/>
    <col min="31" max="31" width="13.28515625" style="28" bestFit="1" customWidth="1"/>
    <col min="32" max="32" width="12.42578125" style="28" bestFit="1" customWidth="1"/>
    <col min="33" max="33" width="11.28515625" style="28" bestFit="1" customWidth="1"/>
    <col min="34" max="34" width="13.28515625" style="28" bestFit="1" customWidth="1"/>
    <col min="35" max="35" width="12.42578125" style="28" bestFit="1" customWidth="1"/>
    <col min="36" max="36" width="11.28515625" style="28" bestFit="1" customWidth="1"/>
    <col min="37" max="37" width="13.28515625" style="28" bestFit="1" customWidth="1"/>
    <col min="38" max="38" width="12.42578125" style="28" bestFit="1" customWidth="1"/>
    <col min="39" max="39" width="11.28515625" style="28" bestFit="1" customWidth="1"/>
    <col min="40" max="40" width="13.28515625" style="28" bestFit="1" customWidth="1"/>
    <col min="41" max="41" width="12.42578125" style="28" bestFit="1" customWidth="1"/>
    <col min="42" max="42" width="11.28515625" style="28" bestFit="1" customWidth="1"/>
    <col min="43" max="43" width="13.28515625" style="28" bestFit="1" customWidth="1"/>
    <col min="44" max="44" width="12.42578125" style="28" bestFit="1" customWidth="1"/>
    <col min="45" max="45" width="11.28515625" style="28" bestFit="1" customWidth="1"/>
    <col min="46" max="46" width="13.28515625" style="28" bestFit="1" customWidth="1"/>
    <col min="47" max="47" width="12.42578125" style="28" bestFit="1" customWidth="1"/>
    <col min="48" max="48" width="11.28515625" style="28" bestFit="1" customWidth="1"/>
    <col min="49" max="49" width="13.28515625" style="28" bestFit="1" customWidth="1"/>
    <col min="50" max="50" width="12.85546875" style="28" bestFit="1" customWidth="1"/>
    <col min="51" max="51" width="13.28515625" style="28" bestFit="1" customWidth="1"/>
    <col min="52" max="52" width="14.42578125" style="22" customWidth="1"/>
    <col min="53" max="53" width="15.42578125" style="22" bestFit="1" customWidth="1"/>
    <col min="54" max="54" width="13.5703125" style="22" bestFit="1" customWidth="1"/>
    <col min="55" max="16384" width="8.85546875" style="28"/>
  </cols>
  <sheetData>
    <row r="1" spans="1:54" s="22" customFormat="1" ht="43.5">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c r="AZ1" s="22" t="s">
        <v>51</v>
      </c>
      <c r="BA1" s="22" t="s">
        <v>52</v>
      </c>
      <c r="BB1" s="22" t="s">
        <v>53</v>
      </c>
    </row>
    <row r="2" spans="1:54" ht="15" thickBot="1">
      <c r="A2" s="23" t="s">
        <v>54</v>
      </c>
      <c r="B2" s="64" t="s">
        <v>55</v>
      </c>
      <c r="C2" s="64" t="s">
        <v>56</v>
      </c>
      <c r="D2" s="65" t="s">
        <v>57</v>
      </c>
      <c r="E2" s="65" t="s">
        <v>58</v>
      </c>
      <c r="F2" s="65" t="s">
        <v>59</v>
      </c>
      <c r="G2" s="65">
        <v>710501</v>
      </c>
      <c r="H2" s="66">
        <v>44583</v>
      </c>
      <c r="I2" s="66">
        <v>44926</v>
      </c>
      <c r="J2" s="75">
        <f>((I2-H2)/30)*BA2</f>
        <v>0</v>
      </c>
      <c r="K2" s="122"/>
      <c r="L2" s="123"/>
      <c r="M2" s="33"/>
      <c r="N2" s="122"/>
      <c r="O2" s="123"/>
      <c r="P2" s="33"/>
      <c r="Q2" s="20"/>
      <c r="R2" s="26"/>
      <c r="S2" s="33"/>
      <c r="T2" s="20"/>
      <c r="U2" s="26"/>
      <c r="V2" s="33"/>
      <c r="W2" s="20"/>
      <c r="X2" s="26"/>
      <c r="Y2" s="33"/>
      <c r="Z2" s="20"/>
      <c r="AA2" s="26"/>
      <c r="AB2" s="33"/>
      <c r="AC2" s="20"/>
      <c r="AD2" s="26"/>
      <c r="AE2" s="33"/>
      <c r="AF2" s="20"/>
      <c r="AG2" s="26"/>
      <c r="AH2" s="33"/>
      <c r="AI2" s="20"/>
      <c r="AJ2" s="26"/>
      <c r="AK2" s="33"/>
      <c r="AL2" s="20"/>
      <c r="AM2" s="26"/>
      <c r="AN2" s="33"/>
      <c r="AO2" s="20"/>
      <c r="AP2" s="26"/>
      <c r="AQ2" s="33"/>
      <c r="AR2" s="20"/>
      <c r="AS2" s="26"/>
      <c r="AT2" s="33"/>
      <c r="AU2" s="32"/>
      <c r="AV2" s="32"/>
      <c r="AW2" s="33"/>
      <c r="AX2" s="32"/>
      <c r="AY2" s="33"/>
      <c r="AZ2" s="22" t="s">
        <v>60</v>
      </c>
    </row>
    <row r="3" spans="1:54" ht="29.1">
      <c r="A3" s="23">
        <v>2</v>
      </c>
      <c r="B3" s="70" t="s">
        <v>55</v>
      </c>
      <c r="C3" s="70" t="s">
        <v>61</v>
      </c>
      <c r="D3" s="71" t="s">
        <v>57</v>
      </c>
      <c r="E3" s="71" t="s">
        <v>58</v>
      </c>
      <c r="F3" s="71" t="s">
        <v>59</v>
      </c>
      <c r="G3" s="71">
        <v>705015</v>
      </c>
      <c r="H3" s="72">
        <v>44572</v>
      </c>
      <c r="I3" s="72">
        <v>44926</v>
      </c>
      <c r="J3" s="119">
        <f>((I3-H3)/30)*BA3</f>
        <v>7835.2000000000007</v>
      </c>
      <c r="K3" s="126">
        <v>9386</v>
      </c>
      <c r="L3" s="127">
        <v>22962</v>
      </c>
      <c r="M3" s="120">
        <f t="shared" ref="M3:M23" si="0">(K3-L3)/K3+1</f>
        <v>-0.44640954613253792</v>
      </c>
      <c r="N3" s="126">
        <v>9386</v>
      </c>
      <c r="O3" s="127">
        <v>16110</v>
      </c>
      <c r="P3" s="121">
        <f t="shared" ref="P3:P23" si="1">(N3-O3)/N3+1</f>
        <v>0.28361389303217555</v>
      </c>
      <c r="Q3" s="20"/>
      <c r="R3" s="26"/>
      <c r="S3" s="33" t="e">
        <f t="shared" ref="S3:S23" si="2">(Q3-R3)/Q3+1</f>
        <v>#DIV/0!</v>
      </c>
      <c r="T3" s="20"/>
      <c r="U3" s="26"/>
      <c r="V3" s="33" t="e">
        <f t="shared" ref="V3:V23" si="3">(T3-U3)/T3+1</f>
        <v>#DIV/0!</v>
      </c>
      <c r="W3" s="20"/>
      <c r="X3" s="26"/>
      <c r="Y3" s="33" t="e">
        <f t="shared" ref="Y3:Y23" si="4">(W3-X3)/W3+1</f>
        <v>#DIV/0!</v>
      </c>
      <c r="Z3" s="20"/>
      <c r="AA3" s="26"/>
      <c r="AB3" s="33" t="e">
        <f t="shared" ref="AB3:AB23" si="5">(Z3-AA3)/Z3+1</f>
        <v>#DIV/0!</v>
      </c>
      <c r="AC3" s="20"/>
      <c r="AD3" s="26"/>
      <c r="AE3" s="33" t="e">
        <f t="shared" ref="AE3:AE23" si="6">(AC3-AD3)/AC3+1</f>
        <v>#DIV/0!</v>
      </c>
      <c r="AF3" s="20"/>
      <c r="AG3" s="26"/>
      <c r="AH3" s="33" t="e">
        <f t="shared" ref="AH3:AH23" si="7">(AF3-AG3)/AF3+1</f>
        <v>#DIV/0!</v>
      </c>
      <c r="AI3" s="20"/>
      <c r="AJ3" s="26"/>
      <c r="AK3" s="33" t="e">
        <f t="shared" ref="AK3:AK23" si="8">(AI3-AJ3)/AI3+1</f>
        <v>#DIV/0!</v>
      </c>
      <c r="AL3" s="20"/>
      <c r="AM3" s="26"/>
      <c r="AN3" s="33" t="e">
        <f t="shared" ref="AN3:AN23" si="9">(AL3-AM3)/AL3+1</f>
        <v>#DIV/0!</v>
      </c>
      <c r="AO3" s="20"/>
      <c r="AP3" s="26"/>
      <c r="AQ3" s="33" t="e">
        <f t="shared" ref="AQ3:AQ23" si="10">(AO3-AP3)/AO3+1</f>
        <v>#DIV/0!</v>
      </c>
      <c r="AR3" s="20"/>
      <c r="AS3" s="26"/>
      <c r="AT3" s="33" t="e">
        <f t="shared" ref="AT3:AT23" si="11">(AR3-AS3)/AR3+1</f>
        <v>#DIV/0!</v>
      </c>
      <c r="AU3" s="32">
        <f t="shared" ref="AU3:AU23" si="12">K3+N3+Q3+T3+W3+Z3+AC3+AF3+AI3+AL3+AO3+AR3</f>
        <v>18772</v>
      </c>
      <c r="AV3" s="32">
        <f t="shared" ref="AV3:AV23" si="13">AS3+AP3+AM3+AJ3+AG3+AD3+AA3+X3+U3+R3+O3+L3</f>
        <v>39072</v>
      </c>
      <c r="AW3" s="33">
        <f t="shared" ref="AW3:AW23" si="14">(AU3-AV3)/AU3+1</f>
        <v>-8.1397826550181129E-2</v>
      </c>
      <c r="AX3" s="32">
        <f t="shared" ref="AX3:AX23" si="15">IF(L3=0,0,K3-L3)+IF(O3=0,0,N3-O3)+IF(R3=0,0,Q3-R3)+IF(U3=0,0,T3-U3)+IF(X3=0,0,W3-X3)+IF(AA3=0,0,Z3-AA3)+IF(AD3=0,0,AC3-AD3)+IF(AG3=0,0,AF3-AG3)+IF(AJ3=0,0,AI3-AJ3)+IF(AM3=0,0,AL3-AM3)+IF(AP3=0,0,AO3-AP3)+IF(AS3=0,0,AR3-AS3)</f>
        <v>-20300</v>
      </c>
      <c r="AY3" s="33">
        <f t="shared" ref="AY3:AY23" si="16">AX3/J3</f>
        <v>-2.5908719624259748</v>
      </c>
      <c r="AZ3" s="22" t="s">
        <v>60</v>
      </c>
      <c r="BA3" s="22">
        <v>664</v>
      </c>
    </row>
    <row r="4" spans="1:54" ht="29.45" thickBot="1">
      <c r="A4" s="23">
        <v>3</v>
      </c>
      <c r="B4" s="70" t="s">
        <v>55</v>
      </c>
      <c r="C4" s="70" t="s">
        <v>62</v>
      </c>
      <c r="D4" s="71" t="s">
        <v>57</v>
      </c>
      <c r="E4" s="71" t="s">
        <v>58</v>
      </c>
      <c r="F4" s="71" t="s">
        <v>59</v>
      </c>
      <c r="G4" s="71">
        <v>710501</v>
      </c>
      <c r="H4" s="72">
        <v>44562</v>
      </c>
      <c r="I4" s="72">
        <v>44926</v>
      </c>
      <c r="J4" s="119">
        <f>((I4-H4)/30)*BA4</f>
        <v>26218.798666666666</v>
      </c>
      <c r="K4" s="128">
        <v>216553</v>
      </c>
      <c r="L4" s="129">
        <v>297436</v>
      </c>
      <c r="M4" s="120">
        <f t="shared" si="0"/>
        <v>0.62649790120663296</v>
      </c>
      <c r="N4" s="128">
        <v>216553</v>
      </c>
      <c r="O4" s="129">
        <v>259282</v>
      </c>
      <c r="P4" s="121">
        <f t="shared" si="1"/>
        <v>0.80268571666058652</v>
      </c>
      <c r="Q4" s="20"/>
      <c r="R4" s="26"/>
      <c r="S4" s="33" t="e">
        <f t="shared" si="2"/>
        <v>#DIV/0!</v>
      </c>
      <c r="T4" s="20"/>
      <c r="U4" s="26"/>
      <c r="V4" s="33" t="e">
        <f t="shared" si="3"/>
        <v>#DIV/0!</v>
      </c>
      <c r="W4" s="20"/>
      <c r="X4" s="26"/>
      <c r="Y4" s="33" t="e">
        <f t="shared" si="4"/>
        <v>#DIV/0!</v>
      </c>
      <c r="Z4" s="20"/>
      <c r="AA4" s="26"/>
      <c r="AB4" s="33" t="e">
        <f t="shared" si="5"/>
        <v>#DIV/0!</v>
      </c>
      <c r="AC4" s="20"/>
      <c r="AD4" s="26"/>
      <c r="AE4" s="33" t="e">
        <f t="shared" si="6"/>
        <v>#DIV/0!</v>
      </c>
      <c r="AF4" s="20"/>
      <c r="AG4" s="26"/>
      <c r="AH4" s="33" t="e">
        <f t="shared" si="7"/>
        <v>#DIV/0!</v>
      </c>
      <c r="AI4" s="20"/>
      <c r="AJ4" s="26"/>
      <c r="AK4" s="33" t="e">
        <f t="shared" si="8"/>
        <v>#DIV/0!</v>
      </c>
      <c r="AL4" s="20"/>
      <c r="AM4" s="26"/>
      <c r="AN4" s="33" t="e">
        <f t="shared" si="9"/>
        <v>#DIV/0!</v>
      </c>
      <c r="AO4" s="20"/>
      <c r="AP4" s="26"/>
      <c r="AQ4" s="33" t="e">
        <f t="shared" si="10"/>
        <v>#DIV/0!</v>
      </c>
      <c r="AR4" s="20"/>
      <c r="AS4" s="26"/>
      <c r="AT4" s="33" t="e">
        <f t="shared" si="11"/>
        <v>#DIV/0!</v>
      </c>
      <c r="AU4" s="32">
        <f t="shared" si="12"/>
        <v>433106</v>
      </c>
      <c r="AV4" s="32">
        <f t="shared" si="13"/>
        <v>556718</v>
      </c>
      <c r="AW4" s="33">
        <f t="shared" si="14"/>
        <v>0.71459180893360985</v>
      </c>
      <c r="AX4" s="32">
        <f t="shared" si="15"/>
        <v>-123612</v>
      </c>
      <c r="AY4" s="33">
        <f t="shared" si="16"/>
        <v>-4.7146324883738639</v>
      </c>
      <c r="AZ4" s="22" t="s">
        <v>60</v>
      </c>
      <c r="BA4" s="22">
        <v>2160.89</v>
      </c>
    </row>
    <row r="5" spans="1:54">
      <c r="A5" s="23">
        <v>4</v>
      </c>
      <c r="B5" s="70" t="s">
        <v>55</v>
      </c>
      <c r="C5" s="24" t="s">
        <v>63</v>
      </c>
      <c r="D5" s="71" t="s">
        <v>57</v>
      </c>
      <c r="E5" s="71" t="s">
        <v>58</v>
      </c>
      <c r="F5" s="71" t="s">
        <v>59</v>
      </c>
      <c r="G5" s="71">
        <v>746310</v>
      </c>
      <c r="H5" s="72">
        <v>44835</v>
      </c>
      <c r="I5" s="72">
        <v>44865</v>
      </c>
      <c r="J5" s="75">
        <v>166501.48662041625</v>
      </c>
      <c r="K5" s="124"/>
      <c r="L5" s="125"/>
      <c r="M5" s="33" t="e">
        <f t="shared" si="0"/>
        <v>#DIV/0!</v>
      </c>
      <c r="N5" s="124"/>
      <c r="O5" s="125"/>
      <c r="P5" s="33" t="e">
        <f t="shared" si="1"/>
        <v>#DIV/0!</v>
      </c>
      <c r="Q5" s="20"/>
      <c r="R5" s="26"/>
      <c r="S5" s="33" t="e">
        <f t="shared" si="2"/>
        <v>#DIV/0!</v>
      </c>
      <c r="T5" s="20"/>
      <c r="U5" s="26"/>
      <c r="V5" s="33" t="e">
        <f t="shared" si="3"/>
        <v>#DIV/0!</v>
      </c>
      <c r="W5" s="20"/>
      <c r="X5" s="26"/>
      <c r="Y5" s="33" t="e">
        <f t="shared" si="4"/>
        <v>#DIV/0!</v>
      </c>
      <c r="Z5" s="20"/>
      <c r="AA5" s="26"/>
      <c r="AB5" s="33" t="e">
        <f t="shared" si="5"/>
        <v>#DIV/0!</v>
      </c>
      <c r="AC5" s="20"/>
      <c r="AD5" s="26"/>
      <c r="AE5" s="33" t="e">
        <f t="shared" si="6"/>
        <v>#DIV/0!</v>
      </c>
      <c r="AF5" s="20"/>
      <c r="AG5" s="26"/>
      <c r="AH5" s="33" t="e">
        <f t="shared" si="7"/>
        <v>#DIV/0!</v>
      </c>
      <c r="AI5" s="20"/>
      <c r="AJ5" s="26"/>
      <c r="AK5" s="33" t="e">
        <f t="shared" si="8"/>
        <v>#DIV/0!</v>
      </c>
      <c r="AL5" s="20">
        <f>J5</f>
        <v>166501.48662041625</v>
      </c>
      <c r="AM5" s="26"/>
      <c r="AN5" s="33">
        <f t="shared" si="9"/>
        <v>2</v>
      </c>
      <c r="AO5" s="20"/>
      <c r="AP5" s="26"/>
      <c r="AQ5" s="33" t="e">
        <f t="shared" si="10"/>
        <v>#DIV/0!</v>
      </c>
      <c r="AR5" s="20"/>
      <c r="AS5" s="26"/>
      <c r="AT5" s="33" t="e">
        <f t="shared" si="11"/>
        <v>#DIV/0!</v>
      </c>
      <c r="AU5" s="32">
        <f t="shared" si="12"/>
        <v>166501.48662041625</v>
      </c>
      <c r="AV5" s="32">
        <f t="shared" si="13"/>
        <v>0</v>
      </c>
      <c r="AW5" s="33">
        <f t="shared" si="14"/>
        <v>2</v>
      </c>
      <c r="AX5" s="32">
        <f t="shared" si="15"/>
        <v>0</v>
      </c>
      <c r="AY5" s="33">
        <f t="shared" si="16"/>
        <v>0</v>
      </c>
    </row>
    <row r="6" spans="1:54" ht="29.1">
      <c r="A6" s="23">
        <v>5</v>
      </c>
      <c r="B6" s="70" t="s">
        <v>55</v>
      </c>
      <c r="C6" s="24" t="s">
        <v>64</v>
      </c>
      <c r="D6" s="71" t="s">
        <v>57</v>
      </c>
      <c r="E6" s="71" t="s">
        <v>58</v>
      </c>
      <c r="F6" s="71" t="s">
        <v>59</v>
      </c>
      <c r="G6" s="71">
        <v>746094</v>
      </c>
      <c r="H6" s="72">
        <v>44562</v>
      </c>
      <c r="I6" s="72">
        <v>44562</v>
      </c>
      <c r="J6" s="75">
        <v>12640</v>
      </c>
      <c r="K6" s="20">
        <v>23068</v>
      </c>
      <c r="L6" s="26">
        <v>3166</v>
      </c>
      <c r="M6" s="33">
        <f t="shared" si="0"/>
        <v>1.8627535980579157</v>
      </c>
      <c r="N6" s="20"/>
      <c r="O6" s="26"/>
      <c r="P6" s="33" t="e">
        <f t="shared" si="1"/>
        <v>#DIV/0!</v>
      </c>
      <c r="Q6" s="20"/>
      <c r="R6" s="26"/>
      <c r="S6" s="33" t="e">
        <f t="shared" si="2"/>
        <v>#DIV/0!</v>
      </c>
      <c r="T6" s="20"/>
      <c r="U6" s="26"/>
      <c r="V6" s="33" t="e">
        <f t="shared" si="3"/>
        <v>#DIV/0!</v>
      </c>
      <c r="W6" s="20"/>
      <c r="X6" s="26"/>
      <c r="Y6" s="33" t="e">
        <f t="shared" si="4"/>
        <v>#DIV/0!</v>
      </c>
      <c r="Z6" s="20"/>
      <c r="AA6" s="26"/>
      <c r="AB6" s="33" t="e">
        <f t="shared" si="5"/>
        <v>#DIV/0!</v>
      </c>
      <c r="AC6" s="20"/>
      <c r="AD6" s="26"/>
      <c r="AE6" s="33" t="e">
        <f t="shared" si="6"/>
        <v>#DIV/0!</v>
      </c>
      <c r="AF6" s="20"/>
      <c r="AG6" s="26"/>
      <c r="AH6" s="33" t="e">
        <f t="shared" si="7"/>
        <v>#DIV/0!</v>
      </c>
      <c r="AI6" s="20"/>
      <c r="AJ6" s="26"/>
      <c r="AK6" s="33" t="e">
        <f t="shared" si="8"/>
        <v>#DIV/0!</v>
      </c>
      <c r="AL6" s="20"/>
      <c r="AM6" s="26"/>
      <c r="AN6" s="33" t="e">
        <f t="shared" si="9"/>
        <v>#DIV/0!</v>
      </c>
      <c r="AO6" s="20"/>
      <c r="AP6" s="26"/>
      <c r="AQ6" s="33" t="e">
        <f t="shared" si="10"/>
        <v>#DIV/0!</v>
      </c>
      <c r="AR6" s="20"/>
      <c r="AS6" s="26"/>
      <c r="AT6" s="33" t="e">
        <f t="shared" si="11"/>
        <v>#DIV/0!</v>
      </c>
      <c r="AU6" s="32">
        <f t="shared" si="12"/>
        <v>23068</v>
      </c>
      <c r="AV6" s="32">
        <f t="shared" si="13"/>
        <v>3166</v>
      </c>
      <c r="AW6" s="33">
        <f t="shared" si="14"/>
        <v>1.8627535980579157</v>
      </c>
      <c r="AX6" s="32">
        <f t="shared" si="15"/>
        <v>19902</v>
      </c>
      <c r="AY6" s="33">
        <f t="shared" si="16"/>
        <v>1.5745253164556963</v>
      </c>
    </row>
    <row r="7" spans="1:54" ht="29.1">
      <c r="A7" s="23">
        <v>6</v>
      </c>
      <c r="B7" s="70" t="s">
        <v>55</v>
      </c>
      <c r="C7" s="24" t="s">
        <v>65</v>
      </c>
      <c r="D7" s="71" t="s">
        <v>57</v>
      </c>
      <c r="E7" s="71" t="s">
        <v>66</v>
      </c>
      <c r="F7" s="71" t="s">
        <v>67</v>
      </c>
      <c r="G7" s="71">
        <v>74220</v>
      </c>
      <c r="H7" s="72">
        <v>44562</v>
      </c>
      <c r="I7" s="72">
        <v>44926</v>
      </c>
      <c r="J7" s="75">
        <v>14097.2</v>
      </c>
      <c r="K7" s="20">
        <v>1073</v>
      </c>
      <c r="L7" s="26">
        <v>0</v>
      </c>
      <c r="M7" s="33">
        <f t="shared" si="0"/>
        <v>2</v>
      </c>
      <c r="N7" s="20">
        <v>1073</v>
      </c>
      <c r="O7" s="26">
        <v>1221</v>
      </c>
      <c r="P7" s="33">
        <f t="shared" si="1"/>
        <v>0.86206896551724133</v>
      </c>
      <c r="Q7" s="20">
        <f>N7</f>
        <v>1073</v>
      </c>
      <c r="R7" s="26"/>
      <c r="S7" s="33">
        <f t="shared" si="2"/>
        <v>2</v>
      </c>
      <c r="T7" s="20">
        <v>1073</v>
      </c>
      <c r="U7" s="26"/>
      <c r="V7" s="33">
        <f t="shared" si="3"/>
        <v>2</v>
      </c>
      <c r="W7" s="20">
        <v>1073</v>
      </c>
      <c r="X7" s="26"/>
      <c r="Y7" s="33">
        <f t="shared" si="4"/>
        <v>2</v>
      </c>
      <c r="Z7" s="20">
        <v>1073</v>
      </c>
      <c r="AA7" s="26"/>
      <c r="AB7" s="33">
        <f t="shared" si="5"/>
        <v>2</v>
      </c>
      <c r="AC7" s="20">
        <v>1073</v>
      </c>
      <c r="AD7" s="26"/>
      <c r="AE7" s="33">
        <f t="shared" si="6"/>
        <v>2</v>
      </c>
      <c r="AF7" s="20">
        <v>1073</v>
      </c>
      <c r="AG7" s="26"/>
      <c r="AH7" s="33">
        <f t="shared" si="7"/>
        <v>2</v>
      </c>
      <c r="AI7" s="20">
        <v>1073</v>
      </c>
      <c r="AJ7" s="26"/>
      <c r="AK7" s="33">
        <f t="shared" si="8"/>
        <v>2</v>
      </c>
      <c r="AL7" s="20">
        <v>1073</v>
      </c>
      <c r="AM7" s="26"/>
      <c r="AN7" s="33">
        <f t="shared" si="9"/>
        <v>2</v>
      </c>
      <c r="AO7" s="20">
        <v>1073</v>
      </c>
      <c r="AP7" s="26"/>
      <c r="AQ7" s="33">
        <f t="shared" si="10"/>
        <v>2</v>
      </c>
      <c r="AR7" s="20">
        <v>1073</v>
      </c>
      <c r="AS7" s="26"/>
      <c r="AT7" s="33">
        <f t="shared" si="11"/>
        <v>2</v>
      </c>
      <c r="AU7" s="32">
        <f t="shared" si="12"/>
        <v>12876</v>
      </c>
      <c r="AV7" s="32">
        <f t="shared" si="13"/>
        <v>1221</v>
      </c>
      <c r="AW7" s="33">
        <f t="shared" si="14"/>
        <v>1.9051724137931034</v>
      </c>
      <c r="AX7" s="32">
        <f t="shared" si="15"/>
        <v>-148</v>
      </c>
      <c r="AY7" s="33">
        <f t="shared" si="16"/>
        <v>-1.0498538716908321E-2</v>
      </c>
    </row>
    <row r="8" spans="1:54" ht="43.5">
      <c r="A8" s="23">
        <v>7</v>
      </c>
      <c r="B8" s="70" t="s">
        <v>55</v>
      </c>
      <c r="C8" s="70" t="s">
        <v>68</v>
      </c>
      <c r="D8" s="71" t="s">
        <v>57</v>
      </c>
      <c r="E8" s="71" t="s">
        <v>58</v>
      </c>
      <c r="F8" s="71" t="s">
        <v>59</v>
      </c>
      <c r="G8" s="71">
        <v>710501</v>
      </c>
      <c r="H8" s="72">
        <v>44652</v>
      </c>
      <c r="I8" s="72">
        <v>44926</v>
      </c>
      <c r="J8" s="73">
        <v>80960</v>
      </c>
      <c r="K8" s="116"/>
      <c r="L8" s="26"/>
      <c r="M8" s="117" t="e">
        <f t="shared" si="0"/>
        <v>#DIV/0!</v>
      </c>
      <c r="N8" s="116"/>
      <c r="O8" s="26"/>
      <c r="P8" s="117" t="e">
        <f t="shared" si="1"/>
        <v>#DIV/0!</v>
      </c>
      <c r="Q8" s="116"/>
      <c r="R8" s="26"/>
      <c r="S8" s="117" t="e">
        <f t="shared" si="2"/>
        <v>#DIV/0!</v>
      </c>
      <c r="T8" s="116">
        <f>$J$8/9</f>
        <v>8995.5555555555547</v>
      </c>
      <c r="U8" s="26"/>
      <c r="V8" s="117">
        <f t="shared" si="3"/>
        <v>2</v>
      </c>
      <c r="W8" s="116">
        <f>$J$8/9</f>
        <v>8995.5555555555547</v>
      </c>
      <c r="X8" s="26"/>
      <c r="Y8" s="117">
        <f t="shared" si="4"/>
        <v>2</v>
      </c>
      <c r="Z8" s="116">
        <f>$J$8/9</f>
        <v>8995.5555555555547</v>
      </c>
      <c r="AA8" s="26"/>
      <c r="AB8" s="117">
        <f t="shared" si="5"/>
        <v>2</v>
      </c>
      <c r="AC8" s="116">
        <f>$J$8/9</f>
        <v>8995.5555555555547</v>
      </c>
      <c r="AD8" s="26"/>
      <c r="AE8" s="117">
        <f t="shared" si="6"/>
        <v>2</v>
      </c>
      <c r="AF8" s="116">
        <f>$J$8/9</f>
        <v>8995.5555555555547</v>
      </c>
      <c r="AG8" s="26"/>
      <c r="AH8" s="117">
        <f t="shared" si="7"/>
        <v>2</v>
      </c>
      <c r="AI8" s="116">
        <f>$J$8/9</f>
        <v>8995.5555555555547</v>
      </c>
      <c r="AJ8" s="26"/>
      <c r="AK8" s="117">
        <f t="shared" si="8"/>
        <v>2</v>
      </c>
      <c r="AL8" s="116">
        <f>$J$8/9</f>
        <v>8995.5555555555547</v>
      </c>
      <c r="AM8" s="26"/>
      <c r="AN8" s="117">
        <f t="shared" si="9"/>
        <v>2</v>
      </c>
      <c r="AO8" s="116">
        <f>$J$8/9</f>
        <v>8995.5555555555547</v>
      </c>
      <c r="AP8" s="26"/>
      <c r="AQ8" s="117">
        <f t="shared" si="10"/>
        <v>2</v>
      </c>
      <c r="AR8" s="116">
        <f>$J$8/9</f>
        <v>8995.5555555555547</v>
      </c>
      <c r="AS8" s="26"/>
      <c r="AT8" s="117">
        <f t="shared" si="11"/>
        <v>2</v>
      </c>
      <c r="AU8" s="118">
        <f t="shared" si="12"/>
        <v>80960</v>
      </c>
      <c r="AV8" s="118">
        <f t="shared" si="13"/>
        <v>0</v>
      </c>
      <c r="AW8" s="117">
        <f t="shared" si="14"/>
        <v>2</v>
      </c>
      <c r="AX8" s="118">
        <f t="shared" si="15"/>
        <v>0</v>
      </c>
      <c r="AY8" s="117">
        <f t="shared" si="16"/>
        <v>0</v>
      </c>
    </row>
    <row r="9" spans="1:54" ht="29.1">
      <c r="A9" s="23">
        <v>8</v>
      </c>
      <c r="B9" s="70" t="s">
        <v>69</v>
      </c>
      <c r="C9" s="69" t="s">
        <v>70</v>
      </c>
      <c r="D9" s="77" t="s">
        <v>57</v>
      </c>
      <c r="E9" s="77" t="s">
        <v>71</v>
      </c>
      <c r="F9" s="77" t="s">
        <v>72</v>
      </c>
      <c r="G9" s="77">
        <v>472084</v>
      </c>
      <c r="H9" s="72">
        <v>44593</v>
      </c>
      <c r="I9" s="72">
        <v>44926</v>
      </c>
      <c r="J9" s="73">
        <v>2225</v>
      </c>
      <c r="K9" s="20">
        <v>100</v>
      </c>
      <c r="L9" s="26">
        <v>6339</v>
      </c>
      <c r="M9" s="33">
        <f>L9/K9</f>
        <v>63.39</v>
      </c>
      <c r="N9" s="20">
        <v>100</v>
      </c>
      <c r="O9" s="26">
        <v>6762</v>
      </c>
      <c r="P9" s="33">
        <f>O9/N9</f>
        <v>67.62</v>
      </c>
      <c r="Q9" s="20">
        <v>380</v>
      </c>
      <c r="R9" s="26"/>
      <c r="S9" s="33">
        <f>R9/Q9</f>
        <v>0</v>
      </c>
      <c r="T9" s="20">
        <v>318</v>
      </c>
      <c r="U9" s="26"/>
      <c r="V9" s="33">
        <f>U9/T9</f>
        <v>0</v>
      </c>
      <c r="W9" s="20">
        <v>302</v>
      </c>
      <c r="X9" s="26"/>
      <c r="Y9" s="33">
        <f>X9/W9</f>
        <v>0</v>
      </c>
      <c r="Z9" s="20">
        <v>204</v>
      </c>
      <c r="AA9" s="26"/>
      <c r="AB9" s="33">
        <f>AA9/Z9</f>
        <v>0</v>
      </c>
      <c r="AC9" s="20">
        <v>100</v>
      </c>
      <c r="AD9" s="26"/>
      <c r="AE9" s="33">
        <f>AD9/AC9</f>
        <v>0</v>
      </c>
      <c r="AF9" s="20">
        <v>100</v>
      </c>
      <c r="AG9" s="26"/>
      <c r="AH9" s="33">
        <f>AG9/AF9</f>
        <v>0</v>
      </c>
      <c r="AI9" s="20">
        <v>100</v>
      </c>
      <c r="AJ9" s="26"/>
      <c r="AK9" s="33">
        <f>AJ9/AI9</f>
        <v>0</v>
      </c>
      <c r="AL9" s="20">
        <v>98</v>
      </c>
      <c r="AM9" s="26"/>
      <c r="AN9" s="33">
        <f>AM9/AL9</f>
        <v>0</v>
      </c>
      <c r="AO9" s="20">
        <v>141</v>
      </c>
      <c r="AP9" s="26"/>
      <c r="AQ9" s="33" t="e">
        <f>AP9AO9</f>
        <v>#NAME?</v>
      </c>
      <c r="AR9" s="20">
        <v>282</v>
      </c>
      <c r="AS9" s="26"/>
      <c r="AT9" s="33">
        <f>AS9/AR9</f>
        <v>0</v>
      </c>
      <c r="AU9" s="32">
        <f t="shared" si="12"/>
        <v>2225</v>
      </c>
      <c r="AV9" s="32">
        <f t="shared" si="13"/>
        <v>13101</v>
      </c>
      <c r="AW9" s="33">
        <f t="shared" si="14"/>
        <v>-3.888089887640449</v>
      </c>
      <c r="AX9" s="32">
        <f t="shared" si="15"/>
        <v>-12901</v>
      </c>
      <c r="AY9" s="33">
        <f t="shared" si="16"/>
        <v>-5.7982022471910115</v>
      </c>
    </row>
    <row r="10" spans="1:54" ht="29.1">
      <c r="A10" s="23">
        <v>9</v>
      </c>
      <c r="B10" s="69" t="s">
        <v>73</v>
      </c>
      <c r="C10" s="69" t="s">
        <v>74</v>
      </c>
      <c r="D10" s="77" t="s">
        <v>57</v>
      </c>
      <c r="E10" s="77" t="s">
        <v>75</v>
      </c>
      <c r="F10" s="77" t="s">
        <v>76</v>
      </c>
      <c r="G10" s="77"/>
      <c r="H10" s="79">
        <v>44621</v>
      </c>
      <c r="I10" s="79">
        <v>44926</v>
      </c>
      <c r="J10" s="73">
        <v>3144</v>
      </c>
      <c r="K10" s="20"/>
      <c r="L10" s="26"/>
      <c r="M10" s="33" t="e">
        <f t="shared" si="0"/>
        <v>#DIV/0!</v>
      </c>
      <c r="N10" s="20"/>
      <c r="O10" s="26"/>
      <c r="P10" s="33" t="e">
        <f t="shared" si="1"/>
        <v>#DIV/0!</v>
      </c>
      <c r="Q10" s="20"/>
      <c r="R10" s="26"/>
      <c r="S10" s="33" t="e">
        <f t="shared" si="2"/>
        <v>#DIV/0!</v>
      </c>
      <c r="T10" s="20"/>
      <c r="U10" s="26"/>
      <c r="V10" s="33" t="e">
        <f t="shared" si="3"/>
        <v>#DIV/0!</v>
      </c>
      <c r="W10" s="20"/>
      <c r="X10" s="26"/>
      <c r="Y10" s="33" t="e">
        <f t="shared" si="4"/>
        <v>#DIV/0!</v>
      </c>
      <c r="Z10" s="20"/>
      <c r="AA10" s="26"/>
      <c r="AB10" s="33" t="e">
        <f t="shared" si="5"/>
        <v>#DIV/0!</v>
      </c>
      <c r="AC10" s="20"/>
      <c r="AD10" s="26"/>
      <c r="AE10" s="33" t="e">
        <f t="shared" si="6"/>
        <v>#DIV/0!</v>
      </c>
      <c r="AF10" s="20"/>
      <c r="AG10" s="26"/>
      <c r="AH10" s="33" t="e">
        <f t="shared" si="7"/>
        <v>#DIV/0!</v>
      </c>
      <c r="AI10" s="20"/>
      <c r="AJ10" s="26"/>
      <c r="AK10" s="33" t="e">
        <f t="shared" si="8"/>
        <v>#DIV/0!</v>
      </c>
      <c r="AL10" s="20"/>
      <c r="AM10" s="26"/>
      <c r="AN10" s="33" t="e">
        <f t="shared" si="9"/>
        <v>#DIV/0!</v>
      </c>
      <c r="AO10" s="20"/>
      <c r="AP10" s="26"/>
      <c r="AQ10" s="33" t="e">
        <f t="shared" si="10"/>
        <v>#DIV/0!</v>
      </c>
      <c r="AR10" s="20"/>
      <c r="AS10" s="26"/>
      <c r="AT10" s="33" t="e">
        <f t="shared" si="11"/>
        <v>#DIV/0!</v>
      </c>
      <c r="AU10" s="32">
        <f t="shared" si="12"/>
        <v>0</v>
      </c>
      <c r="AV10" s="32">
        <f t="shared" si="13"/>
        <v>0</v>
      </c>
      <c r="AW10" s="33" t="e">
        <f t="shared" si="14"/>
        <v>#DIV/0!</v>
      </c>
      <c r="AX10" s="32">
        <f t="shared" si="15"/>
        <v>0</v>
      </c>
      <c r="AY10" s="33">
        <f t="shared" si="16"/>
        <v>0</v>
      </c>
    </row>
    <row r="11" spans="1:54">
      <c r="A11" s="23">
        <v>10</v>
      </c>
      <c r="B11" s="69"/>
      <c r="C11" s="69"/>
      <c r="D11" s="77"/>
      <c r="E11" s="77"/>
      <c r="F11" s="77"/>
      <c r="G11" s="77"/>
      <c r="H11" s="79"/>
      <c r="I11" s="79"/>
      <c r="J11" s="73"/>
      <c r="K11" s="20"/>
      <c r="L11" s="26"/>
      <c r="M11" s="33" t="e">
        <f t="shared" si="0"/>
        <v>#DIV/0!</v>
      </c>
      <c r="N11" s="20"/>
      <c r="O11" s="26"/>
      <c r="P11" s="33" t="e">
        <f t="shared" si="1"/>
        <v>#DIV/0!</v>
      </c>
      <c r="Q11" s="20"/>
      <c r="R11" s="26"/>
      <c r="S11" s="33" t="e">
        <f t="shared" si="2"/>
        <v>#DIV/0!</v>
      </c>
      <c r="T11" s="20"/>
      <c r="U11" s="26"/>
      <c r="V11" s="33" t="e">
        <f t="shared" si="3"/>
        <v>#DIV/0!</v>
      </c>
      <c r="W11" s="20"/>
      <c r="X11" s="26"/>
      <c r="Y11" s="33" t="e">
        <f t="shared" si="4"/>
        <v>#DIV/0!</v>
      </c>
      <c r="Z11" s="20"/>
      <c r="AA11" s="26"/>
      <c r="AB11" s="33" t="e">
        <f t="shared" si="5"/>
        <v>#DIV/0!</v>
      </c>
      <c r="AC11" s="20"/>
      <c r="AD11" s="26"/>
      <c r="AE11" s="33" t="e">
        <f t="shared" si="6"/>
        <v>#DIV/0!</v>
      </c>
      <c r="AF11" s="20"/>
      <c r="AG11" s="26"/>
      <c r="AH11" s="33" t="e">
        <f t="shared" si="7"/>
        <v>#DIV/0!</v>
      </c>
      <c r="AI11" s="20"/>
      <c r="AJ11" s="26"/>
      <c r="AK11" s="33" t="e">
        <f t="shared" si="8"/>
        <v>#DIV/0!</v>
      </c>
      <c r="AL11" s="20"/>
      <c r="AM11" s="26"/>
      <c r="AN11" s="33" t="e">
        <f t="shared" si="9"/>
        <v>#DIV/0!</v>
      </c>
      <c r="AO11" s="20"/>
      <c r="AP11" s="26"/>
      <c r="AQ11" s="33" t="e">
        <f t="shared" si="10"/>
        <v>#DIV/0!</v>
      </c>
      <c r="AR11" s="20"/>
      <c r="AS11" s="26"/>
      <c r="AT11" s="33" t="e">
        <f t="shared" si="11"/>
        <v>#DIV/0!</v>
      </c>
      <c r="AU11" s="32">
        <f t="shared" si="12"/>
        <v>0</v>
      </c>
      <c r="AV11" s="32">
        <f t="shared" si="13"/>
        <v>0</v>
      </c>
      <c r="AW11" s="33" t="e">
        <f t="shared" si="14"/>
        <v>#DIV/0!</v>
      </c>
      <c r="AX11" s="32">
        <f t="shared" si="15"/>
        <v>0</v>
      </c>
      <c r="AY11" s="33" t="e">
        <f t="shared" si="16"/>
        <v>#DIV/0!</v>
      </c>
    </row>
    <row r="12" spans="1:54">
      <c r="A12" s="23">
        <v>11</v>
      </c>
      <c r="B12" s="70"/>
      <c r="C12" s="70"/>
      <c r="D12" s="71"/>
      <c r="E12" s="71"/>
      <c r="F12" s="71"/>
      <c r="G12" s="71"/>
      <c r="H12" s="72"/>
      <c r="I12" s="72"/>
      <c r="J12" s="73"/>
      <c r="K12" s="20"/>
      <c r="L12" s="26"/>
      <c r="M12" s="33" t="e">
        <f t="shared" si="0"/>
        <v>#DIV/0!</v>
      </c>
      <c r="N12" s="20"/>
      <c r="O12" s="26"/>
      <c r="P12" s="33" t="e">
        <f t="shared" si="1"/>
        <v>#DIV/0!</v>
      </c>
      <c r="Q12" s="20"/>
      <c r="R12" s="26"/>
      <c r="S12" s="33" t="e">
        <f t="shared" si="2"/>
        <v>#DIV/0!</v>
      </c>
      <c r="T12" s="20"/>
      <c r="U12" s="26"/>
      <c r="V12" s="33" t="e">
        <f t="shared" si="3"/>
        <v>#DIV/0!</v>
      </c>
      <c r="W12" s="20"/>
      <c r="X12" s="26"/>
      <c r="Y12" s="33" t="e">
        <f t="shared" si="4"/>
        <v>#DIV/0!</v>
      </c>
      <c r="Z12" s="20"/>
      <c r="AA12" s="26"/>
      <c r="AB12" s="33" t="e">
        <f t="shared" si="5"/>
        <v>#DIV/0!</v>
      </c>
      <c r="AC12" s="20"/>
      <c r="AD12" s="26"/>
      <c r="AE12" s="33" t="e">
        <f t="shared" si="6"/>
        <v>#DIV/0!</v>
      </c>
      <c r="AF12" s="20"/>
      <c r="AG12" s="26"/>
      <c r="AH12" s="33" t="e">
        <f t="shared" si="7"/>
        <v>#DIV/0!</v>
      </c>
      <c r="AI12" s="20"/>
      <c r="AJ12" s="26"/>
      <c r="AK12" s="33" t="e">
        <f t="shared" si="8"/>
        <v>#DIV/0!</v>
      </c>
      <c r="AL12" s="20"/>
      <c r="AM12" s="26"/>
      <c r="AN12" s="33" t="e">
        <f t="shared" si="9"/>
        <v>#DIV/0!</v>
      </c>
      <c r="AO12" s="20"/>
      <c r="AP12" s="26"/>
      <c r="AQ12" s="33" t="e">
        <f t="shared" si="10"/>
        <v>#DIV/0!</v>
      </c>
      <c r="AR12" s="20"/>
      <c r="AS12" s="26"/>
      <c r="AT12" s="33" t="e">
        <f t="shared" si="11"/>
        <v>#DIV/0!</v>
      </c>
      <c r="AU12" s="32">
        <f t="shared" si="12"/>
        <v>0</v>
      </c>
      <c r="AV12" s="32">
        <f t="shared" si="13"/>
        <v>0</v>
      </c>
      <c r="AW12" s="33" t="e">
        <f t="shared" si="14"/>
        <v>#DIV/0!</v>
      </c>
      <c r="AX12" s="32">
        <f t="shared" si="15"/>
        <v>0</v>
      </c>
      <c r="AY12" s="33" t="e">
        <f t="shared" si="16"/>
        <v>#DIV/0!</v>
      </c>
    </row>
    <row r="13" spans="1:54">
      <c r="A13" s="23">
        <v>12</v>
      </c>
      <c r="B13" s="69"/>
      <c r="C13" s="69"/>
      <c r="D13" s="71"/>
      <c r="E13" s="71"/>
      <c r="F13" s="71"/>
      <c r="G13" s="71"/>
      <c r="H13" s="72"/>
      <c r="I13" s="72"/>
      <c r="J13" s="73"/>
      <c r="K13" s="20"/>
      <c r="L13" s="26"/>
      <c r="M13" s="33" t="e">
        <f t="shared" si="0"/>
        <v>#DIV/0!</v>
      </c>
      <c r="N13" s="20"/>
      <c r="O13" s="26"/>
      <c r="P13" s="33" t="e">
        <f t="shared" si="1"/>
        <v>#DIV/0!</v>
      </c>
      <c r="Q13" s="20"/>
      <c r="R13" s="26"/>
      <c r="S13" s="33" t="e">
        <f t="shared" si="2"/>
        <v>#DIV/0!</v>
      </c>
      <c r="T13" s="20"/>
      <c r="U13" s="26"/>
      <c r="V13" s="33" t="e">
        <f t="shared" si="3"/>
        <v>#DIV/0!</v>
      </c>
      <c r="W13" s="20"/>
      <c r="X13" s="26"/>
      <c r="Y13" s="33" t="e">
        <f t="shared" si="4"/>
        <v>#DIV/0!</v>
      </c>
      <c r="Z13" s="20"/>
      <c r="AA13" s="26"/>
      <c r="AB13" s="33" t="e">
        <f t="shared" si="5"/>
        <v>#DIV/0!</v>
      </c>
      <c r="AC13" s="20"/>
      <c r="AD13" s="26"/>
      <c r="AE13" s="33" t="e">
        <f t="shared" si="6"/>
        <v>#DIV/0!</v>
      </c>
      <c r="AF13" s="20"/>
      <c r="AG13" s="26"/>
      <c r="AH13" s="33" t="e">
        <f t="shared" si="7"/>
        <v>#DIV/0!</v>
      </c>
      <c r="AI13" s="20"/>
      <c r="AJ13" s="26"/>
      <c r="AK13" s="33" t="e">
        <f t="shared" si="8"/>
        <v>#DIV/0!</v>
      </c>
      <c r="AL13" s="20"/>
      <c r="AM13" s="26"/>
      <c r="AN13" s="33" t="e">
        <f t="shared" si="9"/>
        <v>#DIV/0!</v>
      </c>
      <c r="AO13" s="20"/>
      <c r="AP13" s="26"/>
      <c r="AQ13" s="33" t="e">
        <f t="shared" si="10"/>
        <v>#DIV/0!</v>
      </c>
      <c r="AR13" s="20"/>
      <c r="AS13" s="26"/>
      <c r="AT13" s="33" t="e">
        <f t="shared" si="11"/>
        <v>#DIV/0!</v>
      </c>
      <c r="AU13" s="32">
        <f t="shared" si="12"/>
        <v>0</v>
      </c>
      <c r="AV13" s="32">
        <f t="shared" si="13"/>
        <v>0</v>
      </c>
      <c r="AW13" s="33" t="e">
        <f t="shared" si="14"/>
        <v>#DIV/0!</v>
      </c>
      <c r="AX13" s="32">
        <f t="shared" si="15"/>
        <v>0</v>
      </c>
      <c r="AY13" s="33" t="e">
        <f t="shared" si="16"/>
        <v>#DIV/0!</v>
      </c>
    </row>
    <row r="14" spans="1:54">
      <c r="A14" s="23">
        <v>13</v>
      </c>
      <c r="B14" s="69"/>
      <c r="C14" s="69"/>
      <c r="D14" s="71"/>
      <c r="E14" s="71"/>
      <c r="F14" s="71"/>
      <c r="G14" s="71"/>
      <c r="H14" s="72"/>
      <c r="I14" s="72"/>
      <c r="J14" s="73"/>
      <c r="K14" s="20"/>
      <c r="L14" s="26"/>
      <c r="M14" s="33" t="e">
        <f t="shared" si="0"/>
        <v>#DIV/0!</v>
      </c>
      <c r="N14" s="20"/>
      <c r="O14" s="26"/>
      <c r="P14" s="33" t="e">
        <f t="shared" si="1"/>
        <v>#DIV/0!</v>
      </c>
      <c r="Q14" s="20"/>
      <c r="R14" s="26"/>
      <c r="S14" s="33" t="e">
        <f t="shared" si="2"/>
        <v>#DIV/0!</v>
      </c>
      <c r="T14" s="20"/>
      <c r="U14" s="26"/>
      <c r="V14" s="33" t="e">
        <f t="shared" si="3"/>
        <v>#DIV/0!</v>
      </c>
      <c r="W14" s="20"/>
      <c r="X14" s="26"/>
      <c r="Y14" s="33" t="e">
        <f t="shared" si="4"/>
        <v>#DIV/0!</v>
      </c>
      <c r="Z14" s="20"/>
      <c r="AA14" s="26"/>
      <c r="AB14" s="33" t="e">
        <f t="shared" si="5"/>
        <v>#DIV/0!</v>
      </c>
      <c r="AC14" s="20"/>
      <c r="AD14" s="26"/>
      <c r="AE14" s="33" t="e">
        <f t="shared" si="6"/>
        <v>#DIV/0!</v>
      </c>
      <c r="AF14" s="20"/>
      <c r="AG14" s="26"/>
      <c r="AH14" s="33" t="e">
        <f t="shared" si="7"/>
        <v>#DIV/0!</v>
      </c>
      <c r="AI14" s="20"/>
      <c r="AJ14" s="26"/>
      <c r="AK14" s="33" t="e">
        <f t="shared" si="8"/>
        <v>#DIV/0!</v>
      </c>
      <c r="AL14" s="20"/>
      <c r="AM14" s="26"/>
      <c r="AN14" s="33" t="e">
        <f t="shared" si="9"/>
        <v>#DIV/0!</v>
      </c>
      <c r="AO14" s="20"/>
      <c r="AP14" s="26"/>
      <c r="AQ14" s="33" t="e">
        <f t="shared" si="10"/>
        <v>#DIV/0!</v>
      </c>
      <c r="AR14" s="20"/>
      <c r="AS14" s="26"/>
      <c r="AT14" s="33" t="e">
        <f t="shared" si="11"/>
        <v>#DIV/0!</v>
      </c>
      <c r="AU14" s="32">
        <f t="shared" si="12"/>
        <v>0</v>
      </c>
      <c r="AV14" s="32">
        <f t="shared" si="13"/>
        <v>0</v>
      </c>
      <c r="AW14" s="33" t="e">
        <f t="shared" si="14"/>
        <v>#DIV/0!</v>
      </c>
      <c r="AX14" s="32">
        <f t="shared" si="15"/>
        <v>0</v>
      </c>
      <c r="AY14" s="33" t="e">
        <f t="shared" si="16"/>
        <v>#DIV/0!</v>
      </c>
    </row>
    <row r="15" spans="1:54">
      <c r="A15" s="23">
        <v>14</v>
      </c>
      <c r="B15" s="24"/>
      <c r="C15" s="24"/>
      <c r="D15" s="23"/>
      <c r="E15" s="24"/>
      <c r="F15" s="23"/>
      <c r="G15" s="23"/>
      <c r="H15" s="25"/>
      <c r="I15" s="25"/>
      <c r="J15" s="20"/>
      <c r="K15" s="20"/>
      <c r="L15" s="26"/>
      <c r="M15" s="33" t="e">
        <f t="shared" si="0"/>
        <v>#DIV/0!</v>
      </c>
      <c r="N15" s="20"/>
      <c r="O15" s="26"/>
      <c r="P15" s="33" t="e">
        <f t="shared" si="1"/>
        <v>#DIV/0!</v>
      </c>
      <c r="Q15" s="20"/>
      <c r="R15" s="26"/>
      <c r="S15" s="33" t="e">
        <f t="shared" si="2"/>
        <v>#DIV/0!</v>
      </c>
      <c r="T15" s="20"/>
      <c r="U15" s="26"/>
      <c r="V15" s="33" t="e">
        <f t="shared" si="3"/>
        <v>#DIV/0!</v>
      </c>
      <c r="W15" s="20"/>
      <c r="X15" s="26"/>
      <c r="Y15" s="33" t="e">
        <f t="shared" si="4"/>
        <v>#DIV/0!</v>
      </c>
      <c r="Z15" s="20"/>
      <c r="AA15" s="26"/>
      <c r="AB15" s="33" t="e">
        <f t="shared" si="5"/>
        <v>#DIV/0!</v>
      </c>
      <c r="AC15" s="20"/>
      <c r="AD15" s="26"/>
      <c r="AE15" s="33" t="e">
        <f t="shared" si="6"/>
        <v>#DIV/0!</v>
      </c>
      <c r="AF15" s="20"/>
      <c r="AG15" s="26"/>
      <c r="AH15" s="33" t="e">
        <f t="shared" si="7"/>
        <v>#DIV/0!</v>
      </c>
      <c r="AI15" s="20"/>
      <c r="AJ15" s="26"/>
      <c r="AK15" s="33" t="e">
        <f t="shared" si="8"/>
        <v>#DIV/0!</v>
      </c>
      <c r="AL15" s="20"/>
      <c r="AM15" s="26"/>
      <c r="AN15" s="33" t="e">
        <f t="shared" si="9"/>
        <v>#DIV/0!</v>
      </c>
      <c r="AO15" s="20"/>
      <c r="AP15" s="26"/>
      <c r="AQ15" s="33" t="e">
        <f t="shared" si="10"/>
        <v>#DIV/0!</v>
      </c>
      <c r="AR15" s="20"/>
      <c r="AS15" s="26"/>
      <c r="AT15" s="33" t="e">
        <f t="shared" si="11"/>
        <v>#DIV/0!</v>
      </c>
      <c r="AU15" s="32">
        <f t="shared" si="12"/>
        <v>0</v>
      </c>
      <c r="AV15" s="32">
        <f t="shared" si="13"/>
        <v>0</v>
      </c>
      <c r="AW15" s="33" t="e">
        <f t="shared" si="14"/>
        <v>#DIV/0!</v>
      </c>
      <c r="AX15" s="32">
        <f t="shared" si="15"/>
        <v>0</v>
      </c>
      <c r="AY15" s="33" t="e">
        <f t="shared" si="16"/>
        <v>#DIV/0!</v>
      </c>
    </row>
    <row r="16" spans="1:54">
      <c r="A16" s="23">
        <v>15</v>
      </c>
      <c r="B16" s="24"/>
      <c r="C16" s="24"/>
      <c r="D16" s="23"/>
      <c r="E16" s="23"/>
      <c r="F16" s="23"/>
      <c r="G16" s="23"/>
      <c r="H16" s="25"/>
      <c r="I16" s="25"/>
      <c r="J16" s="20"/>
      <c r="K16" s="20"/>
      <c r="L16" s="26"/>
      <c r="M16" s="33" t="e">
        <f t="shared" si="0"/>
        <v>#DIV/0!</v>
      </c>
      <c r="N16" s="20"/>
      <c r="O16" s="26"/>
      <c r="P16" s="33" t="e">
        <f t="shared" si="1"/>
        <v>#DIV/0!</v>
      </c>
      <c r="Q16" s="20"/>
      <c r="R16" s="26"/>
      <c r="S16" s="33" t="e">
        <f t="shared" si="2"/>
        <v>#DIV/0!</v>
      </c>
      <c r="T16" s="20"/>
      <c r="U16" s="26"/>
      <c r="V16" s="33" t="e">
        <f t="shared" si="3"/>
        <v>#DIV/0!</v>
      </c>
      <c r="W16" s="20"/>
      <c r="X16" s="26"/>
      <c r="Y16" s="33" t="e">
        <f t="shared" si="4"/>
        <v>#DIV/0!</v>
      </c>
      <c r="Z16" s="20"/>
      <c r="AA16" s="26"/>
      <c r="AB16" s="33" t="e">
        <f t="shared" si="5"/>
        <v>#DIV/0!</v>
      </c>
      <c r="AC16" s="20"/>
      <c r="AD16" s="26"/>
      <c r="AE16" s="33" t="e">
        <f t="shared" si="6"/>
        <v>#DIV/0!</v>
      </c>
      <c r="AF16" s="20"/>
      <c r="AG16" s="26"/>
      <c r="AH16" s="33" t="e">
        <f t="shared" si="7"/>
        <v>#DIV/0!</v>
      </c>
      <c r="AI16" s="20"/>
      <c r="AJ16" s="26"/>
      <c r="AK16" s="33" t="e">
        <f t="shared" si="8"/>
        <v>#DIV/0!</v>
      </c>
      <c r="AL16" s="20"/>
      <c r="AM16" s="26"/>
      <c r="AN16" s="33" t="e">
        <f t="shared" si="9"/>
        <v>#DIV/0!</v>
      </c>
      <c r="AO16" s="20"/>
      <c r="AP16" s="26"/>
      <c r="AQ16" s="33" t="e">
        <f t="shared" si="10"/>
        <v>#DIV/0!</v>
      </c>
      <c r="AR16" s="20"/>
      <c r="AS16" s="26"/>
      <c r="AT16" s="33" t="e">
        <f t="shared" si="11"/>
        <v>#DIV/0!</v>
      </c>
      <c r="AU16" s="32">
        <f t="shared" si="12"/>
        <v>0</v>
      </c>
      <c r="AV16" s="32">
        <f t="shared" si="13"/>
        <v>0</v>
      </c>
      <c r="AW16" s="33" t="e">
        <f t="shared" si="14"/>
        <v>#DIV/0!</v>
      </c>
      <c r="AX16" s="32">
        <f t="shared" si="15"/>
        <v>0</v>
      </c>
      <c r="AY16" s="33" t="e">
        <f t="shared" si="16"/>
        <v>#DIV/0!</v>
      </c>
    </row>
    <row r="17" spans="1:54">
      <c r="A17" s="23">
        <v>16</v>
      </c>
      <c r="B17" s="24"/>
      <c r="C17" s="24"/>
      <c r="D17" s="23"/>
      <c r="E17" s="23"/>
      <c r="F17" s="23"/>
      <c r="G17" s="23"/>
      <c r="H17" s="25"/>
      <c r="I17" s="25"/>
      <c r="J17" s="20"/>
      <c r="K17" s="20"/>
      <c r="L17" s="26"/>
      <c r="M17" s="33" t="e">
        <f t="shared" si="0"/>
        <v>#DIV/0!</v>
      </c>
      <c r="N17" s="20"/>
      <c r="O17" s="26"/>
      <c r="P17" s="33" t="e">
        <f t="shared" si="1"/>
        <v>#DIV/0!</v>
      </c>
      <c r="Q17" s="20"/>
      <c r="R17" s="26"/>
      <c r="S17" s="33" t="e">
        <f t="shared" si="2"/>
        <v>#DIV/0!</v>
      </c>
      <c r="T17" s="20"/>
      <c r="U17" s="26"/>
      <c r="V17" s="33" t="e">
        <f t="shared" si="3"/>
        <v>#DIV/0!</v>
      </c>
      <c r="W17" s="20"/>
      <c r="X17" s="26"/>
      <c r="Y17" s="33" t="e">
        <f t="shared" si="4"/>
        <v>#DIV/0!</v>
      </c>
      <c r="Z17" s="20"/>
      <c r="AA17" s="26"/>
      <c r="AB17" s="33" t="e">
        <f t="shared" si="5"/>
        <v>#DIV/0!</v>
      </c>
      <c r="AC17" s="20"/>
      <c r="AD17" s="26"/>
      <c r="AE17" s="33" t="e">
        <f t="shared" si="6"/>
        <v>#DIV/0!</v>
      </c>
      <c r="AF17" s="20"/>
      <c r="AG17" s="26"/>
      <c r="AH17" s="33" t="e">
        <f t="shared" si="7"/>
        <v>#DIV/0!</v>
      </c>
      <c r="AI17" s="20"/>
      <c r="AJ17" s="26"/>
      <c r="AK17" s="33" t="e">
        <f t="shared" si="8"/>
        <v>#DIV/0!</v>
      </c>
      <c r="AL17" s="20"/>
      <c r="AM17" s="26"/>
      <c r="AN17" s="33" t="e">
        <f t="shared" si="9"/>
        <v>#DIV/0!</v>
      </c>
      <c r="AO17" s="20"/>
      <c r="AP17" s="26"/>
      <c r="AQ17" s="33" t="e">
        <f t="shared" si="10"/>
        <v>#DIV/0!</v>
      </c>
      <c r="AR17" s="20"/>
      <c r="AS17" s="26"/>
      <c r="AT17" s="33" t="e">
        <f t="shared" si="11"/>
        <v>#DIV/0!</v>
      </c>
      <c r="AU17" s="32">
        <f t="shared" si="12"/>
        <v>0</v>
      </c>
      <c r="AV17" s="32">
        <f t="shared" si="13"/>
        <v>0</v>
      </c>
      <c r="AW17" s="33" t="e">
        <f t="shared" si="14"/>
        <v>#DIV/0!</v>
      </c>
      <c r="AX17" s="32">
        <f t="shared" si="15"/>
        <v>0</v>
      </c>
      <c r="AY17" s="33" t="e">
        <f t="shared" si="16"/>
        <v>#DIV/0!</v>
      </c>
    </row>
    <row r="18" spans="1:54">
      <c r="A18" s="23">
        <v>17</v>
      </c>
      <c r="B18" s="24"/>
      <c r="C18" s="24"/>
      <c r="D18" s="23"/>
      <c r="E18" s="23"/>
      <c r="F18" s="23"/>
      <c r="G18" s="23"/>
      <c r="H18" s="25"/>
      <c r="I18" s="25"/>
      <c r="J18" s="20"/>
      <c r="K18" s="20"/>
      <c r="L18" s="26"/>
      <c r="M18" s="33" t="e">
        <f t="shared" si="0"/>
        <v>#DIV/0!</v>
      </c>
      <c r="N18" s="20"/>
      <c r="O18" s="26"/>
      <c r="P18" s="33" t="e">
        <f t="shared" si="1"/>
        <v>#DIV/0!</v>
      </c>
      <c r="Q18" s="20"/>
      <c r="R18" s="26"/>
      <c r="S18" s="33" t="e">
        <f t="shared" si="2"/>
        <v>#DIV/0!</v>
      </c>
      <c r="T18" s="20"/>
      <c r="U18" s="26"/>
      <c r="V18" s="33" t="e">
        <f t="shared" si="3"/>
        <v>#DIV/0!</v>
      </c>
      <c r="W18" s="20"/>
      <c r="X18" s="26"/>
      <c r="Y18" s="33" t="e">
        <f t="shared" si="4"/>
        <v>#DIV/0!</v>
      </c>
      <c r="Z18" s="20"/>
      <c r="AA18" s="26"/>
      <c r="AB18" s="33" t="e">
        <f t="shared" si="5"/>
        <v>#DIV/0!</v>
      </c>
      <c r="AC18" s="20"/>
      <c r="AD18" s="26"/>
      <c r="AE18" s="33" t="e">
        <f t="shared" si="6"/>
        <v>#DIV/0!</v>
      </c>
      <c r="AF18" s="20"/>
      <c r="AG18" s="26"/>
      <c r="AH18" s="33" t="e">
        <f t="shared" si="7"/>
        <v>#DIV/0!</v>
      </c>
      <c r="AI18" s="20"/>
      <c r="AJ18" s="26"/>
      <c r="AK18" s="33" t="e">
        <f t="shared" si="8"/>
        <v>#DIV/0!</v>
      </c>
      <c r="AL18" s="20"/>
      <c r="AM18" s="26"/>
      <c r="AN18" s="33" t="e">
        <f t="shared" si="9"/>
        <v>#DIV/0!</v>
      </c>
      <c r="AO18" s="20"/>
      <c r="AP18" s="26"/>
      <c r="AQ18" s="33" t="e">
        <f t="shared" si="10"/>
        <v>#DIV/0!</v>
      </c>
      <c r="AR18" s="20"/>
      <c r="AS18" s="26"/>
      <c r="AT18" s="33" t="e">
        <f t="shared" si="11"/>
        <v>#DIV/0!</v>
      </c>
      <c r="AU18" s="32">
        <f t="shared" si="12"/>
        <v>0</v>
      </c>
      <c r="AV18" s="32">
        <f t="shared" si="13"/>
        <v>0</v>
      </c>
      <c r="AW18" s="33" t="e">
        <f t="shared" si="14"/>
        <v>#DIV/0!</v>
      </c>
      <c r="AX18" s="32">
        <f t="shared" si="15"/>
        <v>0</v>
      </c>
      <c r="AY18" s="33" t="e">
        <f t="shared" si="16"/>
        <v>#DIV/0!</v>
      </c>
    </row>
    <row r="19" spans="1:54">
      <c r="A19" s="23">
        <v>18</v>
      </c>
      <c r="B19" s="24"/>
      <c r="C19" s="24"/>
      <c r="D19" s="23"/>
      <c r="E19" s="23"/>
      <c r="F19" s="23"/>
      <c r="G19" s="23"/>
      <c r="H19" s="25"/>
      <c r="I19" s="25"/>
      <c r="J19" s="20"/>
      <c r="K19" s="20"/>
      <c r="L19" s="26"/>
      <c r="M19" s="33" t="e">
        <f t="shared" si="0"/>
        <v>#DIV/0!</v>
      </c>
      <c r="N19" s="20"/>
      <c r="O19" s="26"/>
      <c r="P19" s="33" t="e">
        <f t="shared" si="1"/>
        <v>#DIV/0!</v>
      </c>
      <c r="Q19" s="20"/>
      <c r="R19" s="26"/>
      <c r="S19" s="33" t="e">
        <f t="shared" si="2"/>
        <v>#DIV/0!</v>
      </c>
      <c r="T19" s="20"/>
      <c r="U19" s="26"/>
      <c r="V19" s="33" t="e">
        <f t="shared" si="3"/>
        <v>#DIV/0!</v>
      </c>
      <c r="W19" s="20"/>
      <c r="X19" s="26"/>
      <c r="Y19" s="33" t="e">
        <f t="shared" si="4"/>
        <v>#DIV/0!</v>
      </c>
      <c r="Z19" s="20"/>
      <c r="AA19" s="26"/>
      <c r="AB19" s="33" t="e">
        <f t="shared" si="5"/>
        <v>#DIV/0!</v>
      </c>
      <c r="AC19" s="20"/>
      <c r="AD19" s="26"/>
      <c r="AE19" s="33" t="e">
        <f t="shared" si="6"/>
        <v>#DIV/0!</v>
      </c>
      <c r="AF19" s="20"/>
      <c r="AG19" s="26"/>
      <c r="AH19" s="33" t="e">
        <f t="shared" si="7"/>
        <v>#DIV/0!</v>
      </c>
      <c r="AI19" s="20"/>
      <c r="AJ19" s="26"/>
      <c r="AK19" s="33" t="e">
        <f t="shared" si="8"/>
        <v>#DIV/0!</v>
      </c>
      <c r="AL19" s="20"/>
      <c r="AM19" s="26"/>
      <c r="AN19" s="33" t="e">
        <f t="shared" si="9"/>
        <v>#DIV/0!</v>
      </c>
      <c r="AO19" s="20"/>
      <c r="AP19" s="26"/>
      <c r="AQ19" s="33" t="e">
        <f t="shared" si="10"/>
        <v>#DIV/0!</v>
      </c>
      <c r="AR19" s="20"/>
      <c r="AS19" s="26"/>
      <c r="AT19" s="33" t="e">
        <f t="shared" si="11"/>
        <v>#DIV/0!</v>
      </c>
      <c r="AU19" s="32">
        <f t="shared" si="12"/>
        <v>0</v>
      </c>
      <c r="AV19" s="32">
        <f t="shared" si="13"/>
        <v>0</v>
      </c>
      <c r="AW19" s="33" t="e">
        <f t="shared" si="14"/>
        <v>#DIV/0!</v>
      </c>
      <c r="AX19" s="32">
        <f t="shared" si="15"/>
        <v>0</v>
      </c>
      <c r="AY19" s="33" t="e">
        <f t="shared" si="16"/>
        <v>#DIV/0!</v>
      </c>
    </row>
    <row r="20" spans="1:54">
      <c r="A20" s="23">
        <v>19</v>
      </c>
      <c r="B20" s="24"/>
      <c r="C20" s="24"/>
      <c r="D20" s="23"/>
      <c r="E20" s="23"/>
      <c r="F20" s="23"/>
      <c r="G20" s="23"/>
      <c r="H20" s="72"/>
      <c r="I20" s="72"/>
      <c r="J20" s="20"/>
      <c r="K20" s="20"/>
      <c r="L20" s="26"/>
      <c r="M20" s="33" t="e">
        <f t="shared" si="0"/>
        <v>#DIV/0!</v>
      </c>
      <c r="N20" s="20"/>
      <c r="O20" s="26"/>
      <c r="P20" s="33" t="e">
        <f t="shared" si="1"/>
        <v>#DIV/0!</v>
      </c>
      <c r="Q20" s="20"/>
      <c r="R20" s="26"/>
      <c r="S20" s="33" t="e">
        <f t="shared" si="2"/>
        <v>#DIV/0!</v>
      </c>
      <c r="T20" s="20"/>
      <c r="U20" s="26"/>
      <c r="V20" s="33" t="e">
        <f t="shared" si="3"/>
        <v>#DIV/0!</v>
      </c>
      <c r="W20" s="20"/>
      <c r="X20" s="26"/>
      <c r="Y20" s="33" t="e">
        <f t="shared" si="4"/>
        <v>#DIV/0!</v>
      </c>
      <c r="Z20" s="20"/>
      <c r="AA20" s="26"/>
      <c r="AB20" s="33" t="e">
        <f t="shared" si="5"/>
        <v>#DIV/0!</v>
      </c>
      <c r="AC20" s="20"/>
      <c r="AD20" s="26"/>
      <c r="AE20" s="33" t="e">
        <f t="shared" si="6"/>
        <v>#DIV/0!</v>
      </c>
      <c r="AF20" s="20"/>
      <c r="AG20" s="26"/>
      <c r="AH20" s="33" t="e">
        <f t="shared" si="7"/>
        <v>#DIV/0!</v>
      </c>
      <c r="AI20" s="20"/>
      <c r="AJ20" s="26"/>
      <c r="AK20" s="33" t="e">
        <f t="shared" si="8"/>
        <v>#DIV/0!</v>
      </c>
      <c r="AL20" s="20"/>
      <c r="AM20" s="26"/>
      <c r="AN20" s="33" t="e">
        <f t="shared" si="9"/>
        <v>#DIV/0!</v>
      </c>
      <c r="AO20" s="20"/>
      <c r="AP20" s="26"/>
      <c r="AQ20" s="33" t="e">
        <f t="shared" si="10"/>
        <v>#DIV/0!</v>
      </c>
      <c r="AR20" s="20"/>
      <c r="AS20" s="26"/>
      <c r="AT20" s="33" t="e">
        <f t="shared" si="11"/>
        <v>#DIV/0!</v>
      </c>
      <c r="AU20" s="32">
        <f t="shared" si="12"/>
        <v>0</v>
      </c>
      <c r="AV20" s="32">
        <f t="shared" si="13"/>
        <v>0</v>
      </c>
      <c r="AW20" s="33" t="e">
        <f t="shared" si="14"/>
        <v>#DIV/0!</v>
      </c>
      <c r="AX20" s="32">
        <f t="shared" si="15"/>
        <v>0</v>
      </c>
      <c r="AY20" s="33" t="e">
        <f t="shared" si="16"/>
        <v>#DIV/0!</v>
      </c>
    </row>
    <row r="21" spans="1:54">
      <c r="A21" s="23">
        <v>20</v>
      </c>
      <c r="B21" s="24"/>
      <c r="C21" s="24"/>
      <c r="D21" s="23"/>
      <c r="E21" s="23"/>
      <c r="F21" s="23"/>
      <c r="G21" s="23"/>
      <c r="H21" s="72"/>
      <c r="I21" s="72"/>
      <c r="J21" s="20"/>
      <c r="K21" s="20"/>
      <c r="L21" s="26"/>
      <c r="M21" s="33" t="e">
        <f t="shared" si="0"/>
        <v>#DIV/0!</v>
      </c>
      <c r="N21" s="20"/>
      <c r="O21" s="26"/>
      <c r="P21" s="33" t="e">
        <f t="shared" si="1"/>
        <v>#DIV/0!</v>
      </c>
      <c r="Q21" s="20"/>
      <c r="R21" s="26"/>
      <c r="S21" s="33" t="e">
        <f t="shared" si="2"/>
        <v>#DIV/0!</v>
      </c>
      <c r="T21" s="20"/>
      <c r="U21" s="26"/>
      <c r="V21" s="33" t="e">
        <f t="shared" si="3"/>
        <v>#DIV/0!</v>
      </c>
      <c r="W21" s="20"/>
      <c r="X21" s="26"/>
      <c r="Y21" s="33" t="e">
        <f t="shared" si="4"/>
        <v>#DIV/0!</v>
      </c>
      <c r="Z21" s="20"/>
      <c r="AA21" s="26"/>
      <c r="AB21" s="33" t="e">
        <f t="shared" si="5"/>
        <v>#DIV/0!</v>
      </c>
      <c r="AC21" s="20"/>
      <c r="AD21" s="26"/>
      <c r="AE21" s="33" t="e">
        <f t="shared" si="6"/>
        <v>#DIV/0!</v>
      </c>
      <c r="AF21" s="20"/>
      <c r="AG21" s="26"/>
      <c r="AH21" s="33" t="e">
        <f t="shared" si="7"/>
        <v>#DIV/0!</v>
      </c>
      <c r="AI21" s="20"/>
      <c r="AJ21" s="26"/>
      <c r="AK21" s="33" t="e">
        <f t="shared" si="8"/>
        <v>#DIV/0!</v>
      </c>
      <c r="AL21" s="20"/>
      <c r="AM21" s="26"/>
      <c r="AN21" s="33" t="e">
        <f t="shared" si="9"/>
        <v>#DIV/0!</v>
      </c>
      <c r="AO21" s="20"/>
      <c r="AP21" s="26"/>
      <c r="AQ21" s="33" t="e">
        <f t="shared" si="10"/>
        <v>#DIV/0!</v>
      </c>
      <c r="AR21" s="20"/>
      <c r="AS21" s="26"/>
      <c r="AT21" s="33" t="e">
        <f t="shared" si="11"/>
        <v>#DIV/0!</v>
      </c>
      <c r="AU21" s="32">
        <f t="shared" si="12"/>
        <v>0</v>
      </c>
      <c r="AV21" s="32">
        <f t="shared" si="13"/>
        <v>0</v>
      </c>
      <c r="AW21" s="33" t="e">
        <f t="shared" si="14"/>
        <v>#DIV/0!</v>
      </c>
      <c r="AX21" s="32">
        <f t="shared" si="15"/>
        <v>0</v>
      </c>
      <c r="AY21" s="33" t="e">
        <f t="shared" si="16"/>
        <v>#DIV/0!</v>
      </c>
    </row>
    <row r="22" spans="1:54">
      <c r="A22" s="23"/>
      <c r="B22" s="24"/>
      <c r="C22" s="24"/>
      <c r="D22" s="23"/>
      <c r="E22" s="23"/>
      <c r="F22" s="23"/>
      <c r="G22" s="23"/>
      <c r="H22" s="25"/>
      <c r="I22" s="25"/>
      <c r="J22" s="20"/>
      <c r="K22" s="20"/>
      <c r="L22" s="26"/>
      <c r="M22" s="33" t="e">
        <f t="shared" si="0"/>
        <v>#DIV/0!</v>
      </c>
      <c r="N22" s="20"/>
      <c r="O22" s="26"/>
      <c r="P22" s="33" t="e">
        <f t="shared" si="1"/>
        <v>#DIV/0!</v>
      </c>
      <c r="Q22" s="20"/>
      <c r="R22" s="26"/>
      <c r="S22" s="33" t="e">
        <f t="shared" si="2"/>
        <v>#DIV/0!</v>
      </c>
      <c r="T22" s="20"/>
      <c r="U22" s="26"/>
      <c r="V22" s="33" t="e">
        <f t="shared" si="3"/>
        <v>#DIV/0!</v>
      </c>
      <c r="W22" s="20"/>
      <c r="X22" s="26"/>
      <c r="Y22" s="33" t="e">
        <f t="shared" si="4"/>
        <v>#DIV/0!</v>
      </c>
      <c r="Z22" s="20"/>
      <c r="AA22" s="26"/>
      <c r="AB22" s="33" t="e">
        <f t="shared" si="5"/>
        <v>#DIV/0!</v>
      </c>
      <c r="AC22" s="20"/>
      <c r="AD22" s="26"/>
      <c r="AE22" s="33" t="e">
        <f t="shared" si="6"/>
        <v>#DIV/0!</v>
      </c>
      <c r="AF22" s="20"/>
      <c r="AG22" s="26"/>
      <c r="AH22" s="33" t="e">
        <f t="shared" si="7"/>
        <v>#DIV/0!</v>
      </c>
      <c r="AI22" s="20"/>
      <c r="AJ22" s="26"/>
      <c r="AK22" s="33" t="e">
        <f t="shared" si="8"/>
        <v>#DIV/0!</v>
      </c>
      <c r="AL22" s="20"/>
      <c r="AM22" s="26"/>
      <c r="AN22" s="33" t="e">
        <f t="shared" si="9"/>
        <v>#DIV/0!</v>
      </c>
      <c r="AO22" s="20"/>
      <c r="AP22" s="26"/>
      <c r="AQ22" s="33" t="e">
        <f t="shared" si="10"/>
        <v>#DIV/0!</v>
      </c>
      <c r="AR22" s="20"/>
      <c r="AS22" s="26"/>
      <c r="AT22" s="33" t="e">
        <f t="shared" si="11"/>
        <v>#DIV/0!</v>
      </c>
      <c r="AU22" s="32">
        <f t="shared" si="12"/>
        <v>0</v>
      </c>
      <c r="AV22" s="32">
        <f t="shared" si="13"/>
        <v>0</v>
      </c>
      <c r="AW22" s="33" t="e">
        <f t="shared" si="14"/>
        <v>#DIV/0!</v>
      </c>
      <c r="AX22" s="32">
        <f t="shared" si="15"/>
        <v>0</v>
      </c>
      <c r="AY22" s="33" t="e">
        <f t="shared" si="16"/>
        <v>#DIV/0!</v>
      </c>
    </row>
    <row r="23" spans="1:54">
      <c r="A23" s="23"/>
      <c r="B23" s="24"/>
      <c r="C23" s="24"/>
      <c r="D23" s="23"/>
      <c r="E23" s="23"/>
      <c r="F23" s="23"/>
      <c r="G23" s="23"/>
      <c r="H23" s="25"/>
      <c r="I23" s="25"/>
      <c r="J23" s="20"/>
      <c r="K23" s="20"/>
      <c r="L23" s="26"/>
      <c r="M23" s="33" t="e">
        <f t="shared" si="0"/>
        <v>#DIV/0!</v>
      </c>
      <c r="N23" s="20"/>
      <c r="O23" s="26"/>
      <c r="P23" s="33" t="e">
        <f t="shared" si="1"/>
        <v>#DIV/0!</v>
      </c>
      <c r="Q23" s="20"/>
      <c r="R23" s="26"/>
      <c r="S23" s="33" t="e">
        <f t="shared" si="2"/>
        <v>#DIV/0!</v>
      </c>
      <c r="T23" s="20"/>
      <c r="U23" s="26"/>
      <c r="V23" s="33" t="e">
        <f t="shared" si="3"/>
        <v>#DIV/0!</v>
      </c>
      <c r="W23" s="20"/>
      <c r="X23" s="26"/>
      <c r="Y23" s="33" t="e">
        <f t="shared" si="4"/>
        <v>#DIV/0!</v>
      </c>
      <c r="Z23" s="20"/>
      <c r="AA23" s="26"/>
      <c r="AB23" s="33" t="e">
        <f t="shared" si="5"/>
        <v>#DIV/0!</v>
      </c>
      <c r="AC23" s="20"/>
      <c r="AD23" s="26"/>
      <c r="AE23" s="33" t="e">
        <f t="shared" si="6"/>
        <v>#DIV/0!</v>
      </c>
      <c r="AF23" s="20"/>
      <c r="AG23" s="26"/>
      <c r="AH23" s="33" t="e">
        <f t="shared" si="7"/>
        <v>#DIV/0!</v>
      </c>
      <c r="AI23" s="20"/>
      <c r="AJ23" s="26"/>
      <c r="AK23" s="33" t="e">
        <f t="shared" si="8"/>
        <v>#DIV/0!</v>
      </c>
      <c r="AL23" s="20"/>
      <c r="AM23" s="26"/>
      <c r="AN23" s="33" t="e">
        <f t="shared" si="9"/>
        <v>#DIV/0!</v>
      </c>
      <c r="AO23" s="20"/>
      <c r="AP23" s="26"/>
      <c r="AQ23" s="33" t="e">
        <f t="shared" si="10"/>
        <v>#DIV/0!</v>
      </c>
      <c r="AR23" s="20"/>
      <c r="AS23" s="26"/>
      <c r="AT23" s="33" t="e">
        <f t="shared" si="11"/>
        <v>#DIV/0!</v>
      </c>
      <c r="AU23" s="32">
        <f t="shared" si="12"/>
        <v>0</v>
      </c>
      <c r="AV23" s="32">
        <f t="shared" si="13"/>
        <v>0</v>
      </c>
      <c r="AW23" s="33" t="e">
        <f t="shared" si="14"/>
        <v>#DIV/0!</v>
      </c>
      <c r="AX23" s="32">
        <f t="shared" si="15"/>
        <v>0</v>
      </c>
      <c r="AY23" s="33" t="e">
        <f t="shared" si="16"/>
        <v>#DIV/0!</v>
      </c>
    </row>
    <row r="24" spans="1:54">
      <c r="B24" s="29" t="s">
        <v>77</v>
      </c>
      <c r="I24" s="29" t="s">
        <v>77</v>
      </c>
      <c r="J24" s="20">
        <f t="shared" ref="J24:AY24" si="17">SUM(J3:J23)</f>
        <v>313621.68528708292</v>
      </c>
      <c r="K24" s="20">
        <f t="shared" si="17"/>
        <v>250180</v>
      </c>
      <c r="L24" s="20">
        <f t="shared" si="17"/>
        <v>329903</v>
      </c>
      <c r="M24" s="20" t="e">
        <f t="shared" si="17"/>
        <v>#DIV/0!</v>
      </c>
      <c r="N24" s="20">
        <f t="shared" si="17"/>
        <v>227112</v>
      </c>
      <c r="O24" s="20">
        <f t="shared" si="17"/>
        <v>283375</v>
      </c>
      <c r="P24" s="20" t="e">
        <f t="shared" si="17"/>
        <v>#DIV/0!</v>
      </c>
      <c r="Q24" s="20">
        <f t="shared" si="17"/>
        <v>1453</v>
      </c>
      <c r="R24" s="20">
        <f t="shared" si="17"/>
        <v>0</v>
      </c>
      <c r="S24" s="20" t="e">
        <f t="shared" si="17"/>
        <v>#DIV/0!</v>
      </c>
      <c r="T24" s="20">
        <f t="shared" si="17"/>
        <v>10386.555555555555</v>
      </c>
      <c r="U24" s="20">
        <f t="shared" si="17"/>
        <v>0</v>
      </c>
      <c r="V24" s="20" t="e">
        <f t="shared" si="17"/>
        <v>#DIV/0!</v>
      </c>
      <c r="W24" s="20">
        <f t="shared" si="17"/>
        <v>10370.555555555555</v>
      </c>
      <c r="X24" s="20">
        <f t="shared" si="17"/>
        <v>0</v>
      </c>
      <c r="Y24" s="20" t="e">
        <f t="shared" si="17"/>
        <v>#DIV/0!</v>
      </c>
      <c r="Z24" s="20">
        <f t="shared" si="17"/>
        <v>10272.555555555555</v>
      </c>
      <c r="AA24" s="20">
        <f t="shared" si="17"/>
        <v>0</v>
      </c>
      <c r="AB24" s="20" t="e">
        <f t="shared" si="17"/>
        <v>#DIV/0!</v>
      </c>
      <c r="AC24" s="20">
        <f t="shared" si="17"/>
        <v>10168.555555555555</v>
      </c>
      <c r="AD24" s="20">
        <f t="shared" si="17"/>
        <v>0</v>
      </c>
      <c r="AE24" s="20" t="e">
        <f t="shared" si="17"/>
        <v>#DIV/0!</v>
      </c>
      <c r="AF24" s="20">
        <f t="shared" si="17"/>
        <v>10168.555555555555</v>
      </c>
      <c r="AG24" s="20">
        <f t="shared" si="17"/>
        <v>0</v>
      </c>
      <c r="AH24" s="20" t="e">
        <f t="shared" si="17"/>
        <v>#DIV/0!</v>
      </c>
      <c r="AI24" s="20">
        <f t="shared" si="17"/>
        <v>10168.555555555555</v>
      </c>
      <c r="AJ24" s="20">
        <f t="shared" si="17"/>
        <v>0</v>
      </c>
      <c r="AK24" s="20" t="e">
        <f t="shared" si="17"/>
        <v>#DIV/0!</v>
      </c>
      <c r="AL24" s="20">
        <f t="shared" si="17"/>
        <v>176668.04217597182</v>
      </c>
      <c r="AM24" s="20">
        <f t="shared" si="17"/>
        <v>0</v>
      </c>
      <c r="AN24" s="20" t="e">
        <f t="shared" si="17"/>
        <v>#DIV/0!</v>
      </c>
      <c r="AO24" s="20">
        <f t="shared" si="17"/>
        <v>10209.555555555555</v>
      </c>
      <c r="AP24" s="20">
        <f t="shared" si="17"/>
        <v>0</v>
      </c>
      <c r="AQ24" s="20" t="e">
        <f t="shared" si="17"/>
        <v>#DIV/0!</v>
      </c>
      <c r="AR24" s="20">
        <f t="shared" si="17"/>
        <v>10350.555555555555</v>
      </c>
      <c r="AS24" s="20">
        <f t="shared" si="17"/>
        <v>0</v>
      </c>
      <c r="AT24" s="20" t="e">
        <f t="shared" si="17"/>
        <v>#DIV/0!</v>
      </c>
      <c r="AU24" s="20">
        <f t="shared" si="17"/>
        <v>737508.48662041628</v>
      </c>
      <c r="AV24" s="20">
        <f t="shared" si="17"/>
        <v>613278</v>
      </c>
      <c r="AW24" s="20" t="e">
        <f t="shared" si="17"/>
        <v>#DIV/0!</v>
      </c>
      <c r="AX24" s="20">
        <f t="shared" si="17"/>
        <v>-137059</v>
      </c>
      <c r="AY24" s="20" t="e">
        <f t="shared" si="17"/>
        <v>#DIV/0!</v>
      </c>
    </row>
    <row r="25" spans="1:54">
      <c r="B25" s="29"/>
      <c r="I25" s="29"/>
      <c r="J25" s="94">
        <f>APAC!C11</f>
        <v>334941</v>
      </c>
      <c r="K25" s="115">
        <f>J24/J25</f>
        <v>0.93634904442001099</v>
      </c>
      <c r="L25" s="94"/>
      <c r="M25" s="95"/>
      <c r="N25" s="94"/>
      <c r="O25" s="94"/>
      <c r="P25" s="95"/>
      <c r="Q25" s="94"/>
      <c r="R25" s="94"/>
      <c r="S25" s="95"/>
      <c r="T25" s="94"/>
      <c r="U25" s="94"/>
      <c r="V25" s="95"/>
      <c r="W25" s="94"/>
      <c r="X25" s="94"/>
      <c r="Y25" s="95"/>
      <c r="Z25" s="94"/>
      <c r="AA25" s="94"/>
      <c r="AB25" s="95"/>
      <c r="AC25" s="94"/>
      <c r="AD25" s="94"/>
      <c r="AE25" s="95"/>
      <c r="AF25" s="94"/>
      <c r="AG25" s="94"/>
      <c r="AH25" s="95"/>
      <c r="AI25" s="94"/>
      <c r="AJ25" s="94"/>
      <c r="AK25" s="95"/>
      <c r="AL25" s="94"/>
      <c r="AM25" s="94"/>
      <c r="AN25" s="95"/>
      <c r="AO25" s="94"/>
      <c r="AP25" s="94"/>
      <c r="AQ25" s="95"/>
      <c r="AR25" s="94"/>
      <c r="AS25" s="94"/>
      <c r="AT25" s="95"/>
      <c r="AU25" s="96"/>
      <c r="AV25" s="96"/>
      <c r="AW25" s="95"/>
      <c r="AX25" s="96"/>
      <c r="AY25" s="95"/>
    </row>
    <row r="26" spans="1:54">
      <c r="B26" s="29"/>
      <c r="I26" s="29"/>
      <c r="K26" s="94"/>
      <c r="L26" s="94"/>
      <c r="M26" s="95"/>
      <c r="N26" s="94"/>
      <c r="O26" s="94"/>
      <c r="P26" s="95"/>
      <c r="Q26" s="94"/>
      <c r="R26" s="94"/>
      <c r="S26" s="95"/>
      <c r="T26" s="94"/>
      <c r="U26" s="94"/>
      <c r="V26" s="95"/>
      <c r="W26" s="94"/>
      <c r="X26" s="94"/>
      <c r="Y26" s="95"/>
      <c r="Z26" s="94"/>
      <c r="AA26" s="94"/>
      <c r="AB26" s="95"/>
      <c r="AC26" s="94"/>
      <c r="AD26" s="94"/>
      <c r="AE26" s="95"/>
      <c r="AF26" s="94"/>
      <c r="AG26" s="94"/>
      <c r="AH26" s="95"/>
      <c r="AI26" s="94"/>
      <c r="AJ26" s="94"/>
      <c r="AK26" s="95"/>
      <c r="AL26" s="94"/>
      <c r="AM26" s="94"/>
      <c r="AN26" s="95"/>
      <c r="AO26" s="94"/>
      <c r="AP26" s="94"/>
      <c r="AQ26" s="95"/>
      <c r="AR26" s="94"/>
      <c r="AS26" s="94"/>
      <c r="AT26" s="95"/>
      <c r="AU26" s="96"/>
      <c r="AV26" s="96"/>
      <c r="AW26" s="95"/>
      <c r="AX26" s="96"/>
      <c r="AY26" s="95"/>
    </row>
    <row r="27" spans="1:54">
      <c r="A27" s="28" t="s">
        <v>78</v>
      </c>
      <c r="B27" s="29"/>
      <c r="I27" s="29"/>
      <c r="J27" s="94"/>
      <c r="K27" s="94"/>
      <c r="L27" s="94"/>
      <c r="M27" s="95"/>
      <c r="N27" s="94"/>
      <c r="O27" s="94"/>
      <c r="P27" s="95"/>
      <c r="Q27" s="94"/>
      <c r="R27" s="94"/>
      <c r="S27" s="95"/>
      <c r="T27" s="94"/>
      <c r="U27" s="94"/>
      <c r="V27" s="95"/>
      <c r="W27" s="94"/>
      <c r="X27" s="94"/>
      <c r="Y27" s="95"/>
      <c r="Z27" s="94"/>
      <c r="AA27" s="94"/>
      <c r="AB27" s="95"/>
      <c r="AC27" s="94"/>
      <c r="AD27" s="94"/>
      <c r="AE27" s="95"/>
      <c r="AF27" s="94"/>
      <c r="AG27" s="94"/>
      <c r="AH27" s="95"/>
      <c r="AI27" s="94"/>
      <c r="AJ27" s="94"/>
      <c r="AK27" s="95"/>
      <c r="AL27" s="94"/>
      <c r="AM27" s="94"/>
      <c r="AN27" s="95"/>
      <c r="AO27" s="94"/>
      <c r="AP27" s="94"/>
      <c r="AQ27" s="95"/>
      <c r="AR27" s="94"/>
      <c r="AS27" s="94"/>
      <c r="AT27" s="95"/>
      <c r="AU27" s="96"/>
      <c r="AV27" s="96"/>
      <c r="AW27" s="95"/>
      <c r="AX27" s="96"/>
      <c r="AY27" s="95"/>
    </row>
    <row r="28" spans="1:54">
      <c r="A28" s="80" t="s">
        <v>79</v>
      </c>
    </row>
    <row r="29" spans="1:54" ht="17.100000000000001">
      <c r="A29" s="30"/>
      <c r="Q29" s="52"/>
      <c r="AG29" s="52">
        <f>AF6-AG6</f>
        <v>0</v>
      </c>
    </row>
    <row r="30" spans="1:54" s="30" customFormat="1" ht="17.100000000000001">
      <c r="J30" s="31"/>
      <c r="AZ30" s="114"/>
      <c r="BA30" s="114"/>
      <c r="BB30" s="114"/>
    </row>
  </sheetData>
  <phoneticPr fontId="10" type="noConversion"/>
  <pageMargins left="0.7" right="0.7" top="0.75" bottom="0.75" header="0.3" footer="0.3"/>
  <pageSetup paperSize="256" orientation="portrait" horizontalDpi="203" verticalDpi="203"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21"/>
  <sheetViews>
    <sheetView topLeftCell="E1" workbookViewId="0">
      <selection activeCell="G17" sqref="G17"/>
    </sheetView>
  </sheetViews>
  <sheetFormatPr defaultRowHeight="14.45"/>
  <cols>
    <col min="1" max="1" width="25.140625" bestFit="1" customWidth="1"/>
    <col min="2" max="2" width="11" bestFit="1" customWidth="1"/>
    <col min="3" max="3" width="11" customWidth="1"/>
    <col min="4" max="4" width="51.28515625" bestFit="1" customWidth="1"/>
    <col min="5" max="5" width="9.7109375" bestFit="1" customWidth="1"/>
    <col min="7" max="7" width="18.42578125" style="11" bestFit="1" customWidth="1"/>
    <col min="8" max="8" width="117.42578125" bestFit="1" customWidth="1"/>
  </cols>
  <sheetData>
    <row r="1" spans="1:8">
      <c r="A1" t="s">
        <v>80</v>
      </c>
      <c r="B1" t="s">
        <v>81</v>
      </c>
      <c r="D1" t="s">
        <v>82</v>
      </c>
      <c r="E1" t="s">
        <v>83</v>
      </c>
      <c r="G1" s="11" t="s">
        <v>6</v>
      </c>
      <c r="H1" t="s">
        <v>84</v>
      </c>
    </row>
    <row r="2" spans="1:8">
      <c r="A2" t="s">
        <v>85</v>
      </c>
      <c r="B2" t="s">
        <v>86</v>
      </c>
      <c r="D2" t="s">
        <v>87</v>
      </c>
      <c r="E2" t="s">
        <v>88</v>
      </c>
      <c r="G2" s="11">
        <v>472039</v>
      </c>
      <c r="H2" t="s">
        <v>89</v>
      </c>
    </row>
    <row r="3" spans="1:8">
      <c r="A3" t="s">
        <v>90</v>
      </c>
      <c r="B3" t="s">
        <v>91</v>
      </c>
      <c r="D3" t="s">
        <v>92</v>
      </c>
      <c r="E3" t="s">
        <v>71</v>
      </c>
      <c r="G3" s="11">
        <v>472084</v>
      </c>
      <c r="H3" t="s">
        <v>93</v>
      </c>
    </row>
    <row r="4" spans="1:8">
      <c r="A4" t="s">
        <v>94</v>
      </c>
      <c r="B4" t="s">
        <v>95</v>
      </c>
      <c r="D4" t="s">
        <v>96</v>
      </c>
      <c r="E4" t="s">
        <v>97</v>
      </c>
      <c r="G4" s="11">
        <v>472020</v>
      </c>
      <c r="H4" t="s">
        <v>98</v>
      </c>
    </row>
    <row r="5" spans="1:8">
      <c r="A5" t="s">
        <v>99</v>
      </c>
      <c r="B5" t="s">
        <v>100</v>
      </c>
      <c r="D5" t="s">
        <v>55</v>
      </c>
      <c r="E5" t="s">
        <v>58</v>
      </c>
      <c r="G5" s="11">
        <v>472021</v>
      </c>
      <c r="H5" t="s">
        <v>101</v>
      </c>
    </row>
    <row r="6" spans="1:8">
      <c r="A6" t="s">
        <v>102</v>
      </c>
      <c r="B6" t="s">
        <v>103</v>
      </c>
      <c r="D6" t="s">
        <v>104</v>
      </c>
      <c r="E6" t="s">
        <v>105</v>
      </c>
      <c r="G6" s="11">
        <v>472023</v>
      </c>
      <c r="H6" t="s">
        <v>106</v>
      </c>
    </row>
    <row r="7" spans="1:8">
      <c r="A7" t="s">
        <v>107</v>
      </c>
      <c r="B7" t="s">
        <v>59</v>
      </c>
      <c r="D7" t="s">
        <v>108</v>
      </c>
      <c r="E7" t="s">
        <v>109</v>
      </c>
      <c r="G7" s="11">
        <v>472086</v>
      </c>
      <c r="H7" t="s">
        <v>110</v>
      </c>
    </row>
    <row r="8" spans="1:8">
      <c r="D8" t="s">
        <v>111</v>
      </c>
      <c r="E8" t="s">
        <v>112</v>
      </c>
      <c r="G8" s="11">
        <v>472069</v>
      </c>
      <c r="H8" t="s">
        <v>113</v>
      </c>
    </row>
    <row r="9" spans="1:8">
      <c r="D9" t="s">
        <v>114</v>
      </c>
      <c r="E9" t="s">
        <v>115</v>
      </c>
      <c r="G9" s="11">
        <v>472106</v>
      </c>
      <c r="H9" t="s">
        <v>116</v>
      </c>
    </row>
    <row r="10" spans="1:8">
      <c r="D10" t="s">
        <v>117</v>
      </c>
      <c r="E10" t="s">
        <v>118</v>
      </c>
      <c r="G10" s="11">
        <v>481101</v>
      </c>
      <c r="H10" t="s">
        <v>119</v>
      </c>
    </row>
    <row r="11" spans="1:8">
      <c r="D11" t="s">
        <v>120</v>
      </c>
      <c r="E11" t="s">
        <v>121</v>
      </c>
      <c r="G11" s="11">
        <v>758000</v>
      </c>
      <c r="H11" t="s">
        <v>122</v>
      </c>
    </row>
    <row r="12" spans="1:8">
      <c r="D12" t="s">
        <v>123</v>
      </c>
      <c r="E12" t="s">
        <v>124</v>
      </c>
      <c r="G12" s="11">
        <v>758005</v>
      </c>
      <c r="H12" t="s">
        <v>125</v>
      </c>
    </row>
    <row r="13" spans="1:8">
      <c r="D13" t="s">
        <v>126</v>
      </c>
      <c r="E13" t="s">
        <v>127</v>
      </c>
      <c r="G13" s="11">
        <v>770180</v>
      </c>
      <c r="H13" t="s">
        <v>128</v>
      </c>
    </row>
    <row r="14" spans="1:8">
      <c r="D14" t="s">
        <v>129</v>
      </c>
      <c r="E14" t="s">
        <v>130</v>
      </c>
      <c r="G14" s="11">
        <v>789710</v>
      </c>
      <c r="H14" t="s">
        <v>131</v>
      </c>
    </row>
    <row r="15" spans="1:8">
      <c r="D15" t="s">
        <v>132</v>
      </c>
      <c r="E15" t="s">
        <v>133</v>
      </c>
      <c r="G15" s="11">
        <v>735100</v>
      </c>
      <c r="H15" t="s">
        <v>134</v>
      </c>
    </row>
    <row r="16" spans="1:8">
      <c r="D16" t="s">
        <v>135</v>
      </c>
      <c r="E16" t="s">
        <v>136</v>
      </c>
      <c r="G16" s="11">
        <v>755000</v>
      </c>
      <c r="H16" t="s">
        <v>137</v>
      </c>
    </row>
    <row r="17" spans="4:8">
      <c r="D17" t="s">
        <v>138</v>
      </c>
      <c r="E17" t="s">
        <v>139</v>
      </c>
      <c r="G17" s="112">
        <v>710501</v>
      </c>
      <c r="H17" s="113" t="s">
        <v>140</v>
      </c>
    </row>
    <row r="18" spans="4:8">
      <c r="D18" t="s">
        <v>141</v>
      </c>
      <c r="E18" t="s">
        <v>142</v>
      </c>
      <c r="G18" s="11">
        <v>763950</v>
      </c>
      <c r="H18" t="s">
        <v>143</v>
      </c>
    </row>
    <row r="19" spans="4:8">
      <c r="D19" t="s">
        <v>144</v>
      </c>
      <c r="E19" t="s">
        <v>145</v>
      </c>
      <c r="G19" s="11">
        <v>763957</v>
      </c>
      <c r="H19" t="s">
        <v>146</v>
      </c>
    </row>
    <row r="20" spans="4:8">
      <c r="D20" t="s">
        <v>147</v>
      </c>
      <c r="E20" t="s">
        <v>148</v>
      </c>
      <c r="G20" s="11">
        <v>708100</v>
      </c>
      <c r="H20" t="s">
        <v>149</v>
      </c>
    </row>
    <row r="21" spans="4:8">
      <c r="D21" t="s">
        <v>150</v>
      </c>
      <c r="E21" t="s">
        <v>151</v>
      </c>
      <c r="G21" s="11">
        <v>700300</v>
      </c>
      <c r="H21" t="s">
        <v>152</v>
      </c>
    </row>
    <row r="22" spans="4:8">
      <c r="D22" t="s">
        <v>153</v>
      </c>
      <c r="E22" t="s">
        <v>154</v>
      </c>
      <c r="G22" s="112">
        <v>705015</v>
      </c>
      <c r="H22" s="113" t="s">
        <v>155</v>
      </c>
    </row>
    <row r="23" spans="4:8">
      <c r="D23" t="s">
        <v>156</v>
      </c>
      <c r="E23" t="s">
        <v>157</v>
      </c>
      <c r="G23" s="11">
        <v>705030</v>
      </c>
      <c r="H23" t="s">
        <v>158</v>
      </c>
    </row>
    <row r="24" spans="4:8">
      <c r="D24" t="s">
        <v>159</v>
      </c>
      <c r="E24" t="s">
        <v>160</v>
      </c>
      <c r="G24" s="11">
        <v>709020</v>
      </c>
      <c r="H24" t="s">
        <v>161</v>
      </c>
    </row>
    <row r="25" spans="4:8">
      <c r="D25" t="s">
        <v>162</v>
      </c>
      <c r="E25" t="s">
        <v>163</v>
      </c>
      <c r="G25" s="11">
        <v>709023</v>
      </c>
      <c r="H25" t="s">
        <v>164</v>
      </c>
    </row>
    <row r="26" spans="4:8">
      <c r="D26" t="s">
        <v>165</v>
      </c>
      <c r="E26" t="s">
        <v>166</v>
      </c>
      <c r="G26" s="11">
        <v>709183</v>
      </c>
      <c r="H26" t="s">
        <v>167</v>
      </c>
    </row>
    <row r="27" spans="4:8">
      <c r="D27" t="s">
        <v>168</v>
      </c>
      <c r="E27" t="s">
        <v>169</v>
      </c>
      <c r="G27" s="11">
        <v>721030</v>
      </c>
      <c r="H27" t="s">
        <v>170</v>
      </c>
    </row>
    <row r="28" spans="4:8">
      <c r="D28" t="s">
        <v>171</v>
      </c>
      <c r="E28" t="s">
        <v>172</v>
      </c>
      <c r="G28" s="11">
        <v>722630</v>
      </c>
      <c r="H28" t="s">
        <v>173</v>
      </c>
    </row>
    <row r="29" spans="4:8">
      <c r="D29" t="s">
        <v>174</v>
      </c>
      <c r="E29" t="s">
        <v>175</v>
      </c>
      <c r="G29" s="11">
        <v>722790</v>
      </c>
      <c r="H29" t="s">
        <v>176</v>
      </c>
    </row>
    <row r="30" spans="4:8">
      <c r="D30" t="s">
        <v>177</v>
      </c>
      <c r="E30" t="s">
        <v>178</v>
      </c>
      <c r="G30" s="11">
        <v>766311</v>
      </c>
      <c r="H30" t="s">
        <v>179</v>
      </c>
    </row>
    <row r="31" spans="4:8">
      <c r="D31" t="s">
        <v>180</v>
      </c>
      <c r="E31" t="s">
        <v>181</v>
      </c>
      <c r="G31" s="11">
        <v>722690</v>
      </c>
      <c r="H31" t="s">
        <v>182</v>
      </c>
    </row>
    <row r="32" spans="4:8">
      <c r="D32" t="s">
        <v>183</v>
      </c>
      <c r="E32" t="s">
        <v>184</v>
      </c>
      <c r="G32" s="11">
        <v>704046</v>
      </c>
      <c r="H32" t="s">
        <v>185</v>
      </c>
    </row>
    <row r="33" spans="4:8">
      <c r="D33" t="s">
        <v>186</v>
      </c>
      <c r="E33" t="s">
        <v>187</v>
      </c>
      <c r="G33" s="11">
        <v>709188</v>
      </c>
      <c r="H33" t="s">
        <v>188</v>
      </c>
    </row>
    <row r="34" spans="4:8">
      <c r="D34" t="s">
        <v>189</v>
      </c>
      <c r="E34" t="s">
        <v>75</v>
      </c>
      <c r="G34" s="11">
        <v>745110</v>
      </c>
      <c r="H34" t="s">
        <v>190</v>
      </c>
    </row>
    <row r="35" spans="4:8">
      <c r="D35" t="s">
        <v>191</v>
      </c>
      <c r="E35" t="s">
        <v>192</v>
      </c>
      <c r="G35" s="11">
        <v>747117</v>
      </c>
      <c r="H35" t="s">
        <v>193</v>
      </c>
    </row>
    <row r="36" spans="4:8">
      <c r="D36" t="s">
        <v>194</v>
      </c>
      <c r="E36" t="s">
        <v>195</v>
      </c>
      <c r="G36" s="11">
        <v>747175</v>
      </c>
      <c r="H36" t="s">
        <v>196</v>
      </c>
    </row>
    <row r="37" spans="4:8">
      <c r="D37" t="s">
        <v>197</v>
      </c>
      <c r="E37" t="s">
        <v>198</v>
      </c>
      <c r="G37" s="11">
        <v>747182</v>
      </c>
      <c r="H37" t="s">
        <v>199</v>
      </c>
    </row>
    <row r="38" spans="4:8">
      <c r="D38" t="s">
        <v>200</v>
      </c>
      <c r="E38" t="s">
        <v>201</v>
      </c>
      <c r="G38" s="11">
        <v>748800</v>
      </c>
      <c r="H38" t="s">
        <v>202</v>
      </c>
    </row>
    <row r="39" spans="4:8">
      <c r="D39" t="s">
        <v>203</v>
      </c>
      <c r="E39" t="s">
        <v>204</v>
      </c>
      <c r="G39" s="112">
        <v>737942</v>
      </c>
      <c r="H39" s="113" t="s">
        <v>205</v>
      </c>
    </row>
    <row r="40" spans="4:8">
      <c r="D40" t="s">
        <v>206</v>
      </c>
      <c r="E40" t="s">
        <v>207</v>
      </c>
      <c r="G40" s="112">
        <v>740100</v>
      </c>
      <c r="H40" s="113" t="s">
        <v>208</v>
      </c>
    </row>
    <row r="41" spans="4:8">
      <c r="D41" t="s">
        <v>209</v>
      </c>
      <c r="E41" t="s">
        <v>210</v>
      </c>
      <c r="G41" s="11">
        <v>742200</v>
      </c>
      <c r="H41" t="s">
        <v>211</v>
      </c>
    </row>
    <row r="42" spans="4:8">
      <c r="D42" t="s">
        <v>212</v>
      </c>
      <c r="E42" t="s">
        <v>213</v>
      </c>
      <c r="G42" s="11">
        <v>742400</v>
      </c>
      <c r="H42" t="s">
        <v>214</v>
      </c>
    </row>
    <row r="43" spans="4:8">
      <c r="D43" t="s">
        <v>215</v>
      </c>
      <c r="E43" t="s">
        <v>216</v>
      </c>
      <c r="G43" s="11">
        <v>746101</v>
      </c>
      <c r="H43" t="s">
        <v>217</v>
      </c>
    </row>
    <row r="44" spans="4:8">
      <c r="D44" t="s">
        <v>218</v>
      </c>
      <c r="E44">
        <v>0</v>
      </c>
      <c r="G44" s="11">
        <v>747130</v>
      </c>
      <c r="H44" t="s">
        <v>219</v>
      </c>
    </row>
    <row r="45" spans="4:8">
      <c r="D45" t="s">
        <v>220</v>
      </c>
      <c r="E45" t="s">
        <v>221</v>
      </c>
      <c r="G45" s="11">
        <v>747230</v>
      </c>
      <c r="H45" t="s">
        <v>222</v>
      </c>
    </row>
    <row r="46" spans="4:8">
      <c r="D46" t="s">
        <v>223</v>
      </c>
      <c r="E46" t="s">
        <v>224</v>
      </c>
      <c r="G46" s="11">
        <v>746010</v>
      </c>
      <c r="H46" t="s">
        <v>225</v>
      </c>
    </row>
    <row r="47" spans="4:8">
      <c r="D47" t="s">
        <v>226</v>
      </c>
      <c r="E47" t="s">
        <v>227</v>
      </c>
      <c r="G47" s="11">
        <v>746015</v>
      </c>
      <c r="H47" t="s">
        <v>228</v>
      </c>
    </row>
    <row r="48" spans="4:8">
      <c r="G48" s="11">
        <v>746030</v>
      </c>
      <c r="H48" t="s">
        <v>229</v>
      </c>
    </row>
    <row r="49" spans="7:8">
      <c r="G49" s="11">
        <v>746042</v>
      </c>
      <c r="H49" t="s">
        <v>230</v>
      </c>
    </row>
    <row r="50" spans="7:8">
      <c r="G50" s="11">
        <v>746045</v>
      </c>
      <c r="H50" t="s">
        <v>231</v>
      </c>
    </row>
    <row r="51" spans="7:8">
      <c r="G51" s="11">
        <v>746070</v>
      </c>
      <c r="H51" t="s">
        <v>232</v>
      </c>
    </row>
    <row r="52" spans="7:8">
      <c r="G52" s="11">
        <v>746094</v>
      </c>
      <c r="H52" t="s">
        <v>233</v>
      </c>
    </row>
    <row r="53" spans="7:8">
      <c r="G53" s="11">
        <v>746110</v>
      </c>
      <c r="H53" t="s">
        <v>234</v>
      </c>
    </row>
    <row r="54" spans="7:8">
      <c r="G54" s="11">
        <v>746130</v>
      </c>
      <c r="H54" t="s">
        <v>235</v>
      </c>
    </row>
    <row r="55" spans="7:8">
      <c r="G55" s="11">
        <v>746210</v>
      </c>
      <c r="H55" t="s">
        <v>236</v>
      </c>
    </row>
    <row r="56" spans="7:8">
      <c r="G56" s="11">
        <v>746230</v>
      </c>
      <c r="H56" t="s">
        <v>237</v>
      </c>
    </row>
    <row r="57" spans="7:8">
      <c r="G57" s="11">
        <v>746310</v>
      </c>
      <c r="H57" t="s">
        <v>238</v>
      </c>
    </row>
    <row r="58" spans="7:8">
      <c r="G58" s="11">
        <v>741103</v>
      </c>
      <c r="H58" t="s">
        <v>239</v>
      </c>
    </row>
    <row r="59" spans="7:8">
      <c r="G59" s="11">
        <v>741106</v>
      </c>
      <c r="H59" t="s">
        <v>240</v>
      </c>
    </row>
    <row r="60" spans="7:8">
      <c r="G60" s="11">
        <v>741241</v>
      </c>
      <c r="H60" t="s">
        <v>241</v>
      </c>
    </row>
    <row r="61" spans="7:8">
      <c r="G61" s="11">
        <v>741037</v>
      </c>
      <c r="H61" t="s">
        <v>242</v>
      </c>
    </row>
    <row r="62" spans="7:8">
      <c r="G62" s="11">
        <v>741039</v>
      </c>
      <c r="H62" t="s">
        <v>243</v>
      </c>
    </row>
    <row r="63" spans="7:8">
      <c r="G63" s="11">
        <v>765902</v>
      </c>
      <c r="H63" t="s">
        <v>244</v>
      </c>
    </row>
    <row r="64" spans="7:8">
      <c r="G64" s="11">
        <v>760610</v>
      </c>
      <c r="H64" t="s">
        <v>245</v>
      </c>
    </row>
    <row r="65" spans="7:8">
      <c r="G65" s="11">
        <v>760701</v>
      </c>
      <c r="H65" t="s">
        <v>246</v>
      </c>
    </row>
    <row r="66" spans="7:8">
      <c r="G66" s="11">
        <v>764200</v>
      </c>
      <c r="H66" t="s">
        <v>247</v>
      </c>
    </row>
    <row r="67" spans="7:8">
      <c r="G67" s="11">
        <v>764300</v>
      </c>
      <c r="H67" t="s">
        <v>248</v>
      </c>
    </row>
    <row r="68" spans="7:8">
      <c r="G68" s="11">
        <v>764435</v>
      </c>
      <c r="H68" t="s">
        <v>249</v>
      </c>
    </row>
    <row r="69" spans="7:8">
      <c r="G69" s="11">
        <v>760310</v>
      </c>
      <c r="H69" t="s">
        <v>250</v>
      </c>
    </row>
    <row r="70" spans="7:8">
      <c r="G70" s="11">
        <v>760400</v>
      </c>
      <c r="H70" t="s">
        <v>251</v>
      </c>
    </row>
    <row r="71" spans="7:8">
      <c r="G71" s="112">
        <v>765601</v>
      </c>
      <c r="H71" s="113" t="s">
        <v>252</v>
      </c>
    </row>
    <row r="72" spans="7:8">
      <c r="G72" s="11">
        <v>765602</v>
      </c>
      <c r="H72" t="s">
        <v>253</v>
      </c>
    </row>
    <row r="73" spans="7:8">
      <c r="G73" s="112">
        <v>765800</v>
      </c>
      <c r="H73" s="113" t="s">
        <v>254</v>
      </c>
    </row>
    <row r="74" spans="7:8">
      <c r="G74" s="11">
        <v>764499</v>
      </c>
      <c r="H74" t="s">
        <v>255</v>
      </c>
    </row>
    <row r="75" spans="7:8">
      <c r="G75" s="11">
        <v>765910</v>
      </c>
      <c r="H75" t="s">
        <v>256</v>
      </c>
    </row>
    <row r="76" spans="7:8">
      <c r="G76" s="11">
        <v>762554</v>
      </c>
      <c r="H76" t="s">
        <v>257</v>
      </c>
    </row>
    <row r="77" spans="7:8">
      <c r="G77" s="11">
        <v>762102</v>
      </c>
      <c r="H77" t="s">
        <v>258</v>
      </c>
    </row>
    <row r="78" spans="7:8">
      <c r="G78" s="11">
        <v>762502</v>
      </c>
      <c r="H78" t="s">
        <v>259</v>
      </c>
    </row>
    <row r="79" spans="7:8">
      <c r="G79" s="11">
        <v>762920</v>
      </c>
      <c r="H79" t="s">
        <v>260</v>
      </c>
    </row>
    <row r="80" spans="7:8">
      <c r="G80" s="11">
        <v>762510</v>
      </c>
      <c r="H80" t="s">
        <v>261</v>
      </c>
    </row>
    <row r="81" spans="7:8">
      <c r="G81" s="11">
        <v>762553</v>
      </c>
      <c r="H81" t="s">
        <v>262</v>
      </c>
    </row>
    <row r="82" spans="7:8">
      <c r="G82" s="11">
        <v>776042</v>
      </c>
      <c r="H82" t="s">
        <v>263</v>
      </c>
    </row>
    <row r="83" spans="7:8">
      <c r="G83" s="11">
        <v>778080</v>
      </c>
      <c r="H83" t="s">
        <v>264</v>
      </c>
    </row>
    <row r="84" spans="7:8">
      <c r="G84" s="11">
        <v>721020</v>
      </c>
      <c r="H84" t="s">
        <v>265</v>
      </c>
    </row>
    <row r="85" spans="7:8">
      <c r="G85" s="11">
        <v>749443</v>
      </c>
      <c r="H85" t="s">
        <v>266</v>
      </c>
    </row>
    <row r="86" spans="7:8">
      <c r="G86" s="11">
        <v>753100</v>
      </c>
      <c r="H86" t="s">
        <v>267</v>
      </c>
    </row>
    <row r="87" spans="7:8">
      <c r="G87" s="11">
        <v>767001</v>
      </c>
      <c r="H87" t="s">
        <v>268</v>
      </c>
    </row>
    <row r="88" spans="7:8">
      <c r="G88" s="11">
        <v>762310</v>
      </c>
      <c r="H88" t="s">
        <v>269</v>
      </c>
    </row>
    <row r="89" spans="7:8">
      <c r="G89" s="11">
        <v>766210</v>
      </c>
      <c r="H89" t="s">
        <v>270</v>
      </c>
    </row>
    <row r="90" spans="7:8">
      <c r="G90" s="11">
        <v>766340</v>
      </c>
      <c r="H90" t="s">
        <v>271</v>
      </c>
    </row>
    <row r="91" spans="7:8">
      <c r="G91" s="11">
        <v>766900</v>
      </c>
      <c r="H91" t="s">
        <v>272</v>
      </c>
    </row>
    <row r="92" spans="7:8">
      <c r="G92" s="11">
        <v>786020</v>
      </c>
      <c r="H92" t="s">
        <v>273</v>
      </c>
    </row>
    <row r="94" spans="7:8">
      <c r="G94"/>
    </row>
    <row r="95" spans="7:8">
      <c r="G95"/>
    </row>
    <row r="96" spans="7:8">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sheetData>
  <sortState ref="D2:E121">
    <sortCondition ref="D1:D121"/>
  </sortState>
  <phoneticPr fontId="10" type="noConversion"/>
  <pageMargins left="0.7" right="0.7" top="0.75" bottom="0.75" header="0.3" footer="0.3"/>
  <pageSetup paperSize="0" orientation="portrait" horizontalDpi="0" verticalDpi="0" copies="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15" sqref="L15"/>
    </sheetView>
  </sheetViews>
  <sheetFormatPr defaultRowHeight="14.45"/>
  <sheetData/>
  <phoneticPr fontId="1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21"/>
  <sheetViews>
    <sheetView workbookViewId="0">
      <selection activeCell="D25" sqref="D25"/>
    </sheetView>
  </sheetViews>
  <sheetFormatPr defaultColWidth="9.140625" defaultRowHeight="12.6"/>
  <cols>
    <col min="1" max="1" width="13" style="53" customWidth="1"/>
    <col min="2" max="2" width="20" style="53" customWidth="1"/>
    <col min="3" max="3" width="21.5703125" style="53" bestFit="1" customWidth="1"/>
    <col min="4" max="4" width="19.85546875" style="53" bestFit="1" customWidth="1"/>
    <col min="5" max="5" width="13.140625" style="53" bestFit="1" customWidth="1"/>
    <col min="6" max="6" width="12.5703125" style="53" bestFit="1" customWidth="1"/>
    <col min="7" max="7" width="11.7109375" style="53" bestFit="1" customWidth="1"/>
    <col min="8" max="16384" width="9.140625" style="53"/>
  </cols>
  <sheetData>
    <row r="1" spans="1:7">
      <c r="A1" s="131" t="s">
        <v>274</v>
      </c>
      <c r="B1" s="131"/>
      <c r="C1" s="131"/>
      <c r="D1" s="131"/>
      <c r="E1" s="131"/>
    </row>
    <row r="2" spans="1:7">
      <c r="A2" s="53" t="s">
        <v>275</v>
      </c>
      <c r="B2" s="53" t="s">
        <v>276</v>
      </c>
    </row>
    <row r="3" spans="1:7">
      <c r="A3" s="53" t="s">
        <v>277</v>
      </c>
      <c r="B3" s="53" t="s">
        <v>278</v>
      </c>
    </row>
    <row r="4" spans="1:7">
      <c r="A4" s="53" t="s">
        <v>279</v>
      </c>
      <c r="B4" s="53" t="s">
        <v>280</v>
      </c>
    </row>
    <row r="6" spans="1:7">
      <c r="A6" s="61" t="s">
        <v>281</v>
      </c>
      <c r="B6" s="61" t="s">
        <v>282</v>
      </c>
      <c r="C6" s="53" t="s">
        <v>283</v>
      </c>
      <c r="D6" s="53" t="s">
        <v>284</v>
      </c>
      <c r="E6" s="54" t="s">
        <v>285</v>
      </c>
    </row>
    <row r="7" spans="1:7">
      <c r="A7" s="55" t="s">
        <v>286</v>
      </c>
      <c r="B7" s="56">
        <v>30000</v>
      </c>
      <c r="C7" s="56">
        <v>18561.748820029799</v>
      </c>
      <c r="D7" s="56">
        <v>15426.033907089924</v>
      </c>
      <c r="E7" s="57">
        <f>D7/B7</f>
        <v>0.51420113023633085</v>
      </c>
      <c r="F7" s="63"/>
      <c r="G7" s="56"/>
    </row>
    <row r="8" spans="1:7">
      <c r="A8" s="58" t="s">
        <v>287</v>
      </c>
      <c r="B8" s="56">
        <v>2500</v>
      </c>
      <c r="C8" s="56">
        <v>1418.2333466400005</v>
      </c>
      <c r="D8" s="56">
        <v>588.26886069618797</v>
      </c>
      <c r="E8" s="59">
        <f t="shared" ref="E8:E32" si="0">D8/B8</f>
        <v>0.23530754427847519</v>
      </c>
      <c r="F8" s="56"/>
      <c r="G8" s="56"/>
    </row>
    <row r="9" spans="1:7">
      <c r="A9" s="58" t="s">
        <v>288</v>
      </c>
      <c r="B9" s="56">
        <v>2500</v>
      </c>
      <c r="C9" s="56">
        <v>2405.1682023599978</v>
      </c>
      <c r="D9" s="56">
        <v>4409.0054972097187</v>
      </c>
      <c r="E9" s="59">
        <f t="shared" si="0"/>
        <v>1.7636021988838875</v>
      </c>
      <c r="F9" s="56"/>
      <c r="G9" s="56"/>
    </row>
    <row r="10" spans="1:7">
      <c r="A10" s="58" t="s">
        <v>289</v>
      </c>
      <c r="B10" s="56">
        <v>2500</v>
      </c>
      <c r="C10" s="56">
        <v>1874.0283386220019</v>
      </c>
      <c r="D10" s="56">
        <v>3919.6472067227255</v>
      </c>
      <c r="E10" s="59">
        <f>D10/B10</f>
        <v>1.5678588826890902</v>
      </c>
      <c r="F10" s="56"/>
      <c r="G10" s="56"/>
    </row>
    <row r="11" spans="1:7">
      <c r="A11" s="58" t="s">
        <v>290</v>
      </c>
      <c r="B11" s="56">
        <v>2500</v>
      </c>
      <c r="C11" s="56">
        <v>1313.7110644679999</v>
      </c>
      <c r="D11" s="56">
        <v>2068.1164767208138</v>
      </c>
      <c r="E11" s="59">
        <f t="shared" si="0"/>
        <v>0.82724659068832551</v>
      </c>
      <c r="F11" s="56"/>
      <c r="G11" s="56"/>
    </row>
    <row r="12" spans="1:7">
      <c r="A12" s="58" t="s">
        <v>291</v>
      </c>
      <c r="B12" s="56">
        <v>2500</v>
      </c>
      <c r="C12" s="56">
        <v>1998.3919500798002</v>
      </c>
      <c r="D12" s="56">
        <v>4440.9958657404786</v>
      </c>
      <c r="E12" s="59">
        <f t="shared" si="0"/>
        <v>1.7763983462961914</v>
      </c>
      <c r="F12" s="56"/>
      <c r="G12" s="56"/>
    </row>
    <row r="13" spans="1:7">
      <c r="A13" s="58" t="s">
        <v>292</v>
      </c>
      <c r="B13" s="56">
        <v>2500</v>
      </c>
      <c r="C13" s="56">
        <v>1280.2523546999989</v>
      </c>
      <c r="D13" s="56">
        <v>0</v>
      </c>
      <c r="E13" s="59">
        <f t="shared" si="0"/>
        <v>0</v>
      </c>
      <c r="F13" s="56"/>
      <c r="G13" s="56"/>
    </row>
    <row r="14" spans="1:7">
      <c r="A14" s="58" t="s">
        <v>293</v>
      </c>
      <c r="B14" s="56">
        <v>2500</v>
      </c>
      <c r="C14" s="56">
        <v>1509.1290403199982</v>
      </c>
      <c r="D14" s="56">
        <v>0</v>
      </c>
      <c r="E14" s="59">
        <f t="shared" si="0"/>
        <v>0</v>
      </c>
      <c r="F14" s="56"/>
      <c r="G14" s="56"/>
    </row>
    <row r="15" spans="1:7">
      <c r="A15" s="58" t="s">
        <v>294</v>
      </c>
      <c r="B15" s="56">
        <v>2500</v>
      </c>
      <c r="C15" s="56">
        <v>1459.22492364</v>
      </c>
      <c r="D15" s="56">
        <v>0</v>
      </c>
      <c r="E15" s="59">
        <f t="shared" si="0"/>
        <v>0</v>
      </c>
      <c r="F15" s="56"/>
      <c r="G15" s="56"/>
    </row>
    <row r="16" spans="1:7">
      <c r="A16" s="58" t="s">
        <v>295</v>
      </c>
      <c r="B16" s="56">
        <v>2500</v>
      </c>
      <c r="C16" s="56">
        <v>1217.353253820002</v>
      </c>
      <c r="D16" s="56">
        <v>0</v>
      </c>
      <c r="E16" s="59">
        <f t="shared" si="0"/>
        <v>0</v>
      </c>
      <c r="F16" s="56"/>
      <c r="G16" s="56"/>
    </row>
    <row r="17" spans="1:7">
      <c r="A17" s="58" t="s">
        <v>296</v>
      </c>
      <c r="B17" s="56">
        <v>2500</v>
      </c>
      <c r="C17" s="56">
        <v>1836.9468519600011</v>
      </c>
      <c r="D17" s="56">
        <v>0</v>
      </c>
      <c r="E17" s="59">
        <f t="shared" si="0"/>
        <v>0</v>
      </c>
      <c r="F17" s="56"/>
      <c r="G17" s="56"/>
    </row>
    <row r="18" spans="1:7">
      <c r="A18" s="58" t="s">
        <v>297</v>
      </c>
      <c r="B18" s="56">
        <v>2500</v>
      </c>
      <c r="C18" s="56">
        <v>1221.6281583000002</v>
      </c>
      <c r="D18" s="56">
        <v>0</v>
      </c>
      <c r="E18" s="59">
        <f t="shared" si="0"/>
        <v>0</v>
      </c>
      <c r="F18" s="56"/>
      <c r="G18" s="56"/>
    </row>
    <row r="19" spans="1:7">
      <c r="A19" s="58" t="s">
        <v>298</v>
      </c>
      <c r="B19" s="56">
        <v>2500</v>
      </c>
      <c r="C19" s="56">
        <v>1027.6813351200003</v>
      </c>
      <c r="D19" s="56">
        <v>0</v>
      </c>
      <c r="E19" s="59">
        <f t="shared" si="0"/>
        <v>0</v>
      </c>
      <c r="F19" s="56"/>
      <c r="G19" s="56"/>
    </row>
    <row r="20" spans="1:7">
      <c r="A20" s="55" t="s">
        <v>299</v>
      </c>
      <c r="B20" s="56">
        <v>43000</v>
      </c>
      <c r="C20" s="56">
        <v>11311.361328959994</v>
      </c>
      <c r="D20" s="56">
        <v>15996.557588162952</v>
      </c>
      <c r="E20" s="57">
        <f t="shared" si="0"/>
        <v>0.37201296716658028</v>
      </c>
      <c r="F20" s="63"/>
      <c r="G20" s="56"/>
    </row>
    <row r="21" spans="1:7">
      <c r="A21" s="58" t="s">
        <v>287</v>
      </c>
      <c r="B21" s="56">
        <v>3583.3333333333335</v>
      </c>
      <c r="C21" s="56">
        <v>1052.0098973999993</v>
      </c>
      <c r="D21" s="56">
        <v>1103.2176198362286</v>
      </c>
      <c r="E21" s="59">
        <f t="shared" si="0"/>
        <v>0.30787468460545914</v>
      </c>
      <c r="F21" s="56"/>
      <c r="G21" s="56"/>
    </row>
    <row r="22" spans="1:7">
      <c r="A22" s="58" t="s">
        <v>288</v>
      </c>
      <c r="B22" s="56">
        <v>3583.3333333333335</v>
      </c>
      <c r="C22" s="56">
        <v>1180.6045389599994</v>
      </c>
      <c r="D22" s="56">
        <v>4351.7842459855256</v>
      </c>
      <c r="E22" s="59">
        <f t="shared" si="0"/>
        <v>1.2144514174843326</v>
      </c>
      <c r="F22" s="56"/>
      <c r="G22" s="56"/>
    </row>
    <row r="23" spans="1:7">
      <c r="A23" s="58" t="s">
        <v>289</v>
      </c>
      <c r="B23" s="56">
        <v>3583.3333333333335</v>
      </c>
      <c r="C23" s="56">
        <v>1092.7899813599993</v>
      </c>
      <c r="D23" s="56">
        <v>1764.0459364664307</v>
      </c>
      <c r="E23" s="59">
        <f t="shared" si="0"/>
        <v>0.49229188924644574</v>
      </c>
      <c r="F23" s="56"/>
      <c r="G23" s="56"/>
    </row>
    <row r="24" spans="1:7">
      <c r="A24" s="58" t="s">
        <v>290</v>
      </c>
      <c r="B24" s="56">
        <v>3583.3333333333335</v>
      </c>
      <c r="C24" s="56">
        <v>1009.9287105599993</v>
      </c>
      <c r="D24" s="56">
        <v>1151.6140100011439</v>
      </c>
      <c r="E24" s="59">
        <f t="shared" si="0"/>
        <v>0.3213806539538076</v>
      </c>
      <c r="F24" s="56"/>
      <c r="G24" s="56"/>
    </row>
    <row r="25" spans="1:7">
      <c r="A25" s="58" t="s">
        <v>291</v>
      </c>
      <c r="B25" s="56">
        <v>3583.3333333333335</v>
      </c>
      <c r="C25" s="56">
        <v>1489.7736730799993</v>
      </c>
      <c r="D25" s="56">
        <v>7625.8957758736233</v>
      </c>
      <c r="E25" s="59">
        <f t="shared" si="0"/>
        <v>2.1281569607089179</v>
      </c>
      <c r="F25" s="56"/>
      <c r="G25" s="56"/>
    </row>
    <row r="26" spans="1:7">
      <c r="A26" s="58" t="s">
        <v>292</v>
      </c>
      <c r="B26" s="56">
        <v>3583.3333333333335</v>
      </c>
      <c r="C26" s="56">
        <v>1108.3735555199994</v>
      </c>
      <c r="D26" s="56">
        <v>0</v>
      </c>
      <c r="E26" s="59">
        <f t="shared" si="0"/>
        <v>0</v>
      </c>
      <c r="F26" s="56"/>
      <c r="G26" s="56"/>
    </row>
    <row r="27" spans="1:7">
      <c r="A27" s="58" t="s">
        <v>293</v>
      </c>
      <c r="B27" s="56">
        <v>3583.3333333333335</v>
      </c>
      <c r="C27" s="56">
        <v>1222.5482992799994</v>
      </c>
      <c r="D27" s="56">
        <v>0</v>
      </c>
      <c r="E27" s="59">
        <f t="shared" si="0"/>
        <v>0</v>
      </c>
      <c r="F27" s="56"/>
      <c r="G27" s="56"/>
    </row>
    <row r="28" spans="1:7">
      <c r="A28" s="58" t="s">
        <v>294</v>
      </c>
      <c r="B28" s="56">
        <v>3583.3333333333335</v>
      </c>
      <c r="C28" s="56">
        <v>1180.5481841999999</v>
      </c>
      <c r="D28" s="56">
        <v>0</v>
      </c>
      <c r="E28" s="59">
        <f t="shared" si="0"/>
        <v>0</v>
      </c>
      <c r="F28" s="56"/>
      <c r="G28" s="56"/>
    </row>
    <row r="29" spans="1:7">
      <c r="A29" s="58" t="s">
        <v>295</v>
      </c>
      <c r="B29" s="56">
        <v>3583.3333333333335</v>
      </c>
      <c r="C29" s="56">
        <v>905.47170251999978</v>
      </c>
      <c r="D29" s="56">
        <v>0</v>
      </c>
      <c r="E29" s="59">
        <f t="shared" si="0"/>
        <v>0</v>
      </c>
      <c r="F29" s="56"/>
      <c r="G29" s="56"/>
    </row>
    <row r="30" spans="1:7">
      <c r="A30" s="58" t="s">
        <v>296</v>
      </c>
      <c r="B30" s="56">
        <v>3583.3333333333335</v>
      </c>
      <c r="C30" s="56">
        <v>1069.3127860799991</v>
      </c>
      <c r="D30" s="56">
        <v>0</v>
      </c>
      <c r="E30" s="59">
        <f t="shared" si="0"/>
        <v>0</v>
      </c>
      <c r="F30" s="56"/>
      <c r="G30" s="56"/>
    </row>
    <row r="31" spans="1:7">
      <c r="A31" s="58" t="s">
        <v>297</v>
      </c>
      <c r="B31" s="56">
        <v>3583.3333333333335</v>
      </c>
      <c r="C31" s="56">
        <v>0</v>
      </c>
      <c r="D31" s="56">
        <v>0</v>
      </c>
      <c r="E31" s="59">
        <f t="shared" si="0"/>
        <v>0</v>
      </c>
      <c r="G31" s="56"/>
    </row>
    <row r="32" spans="1:7">
      <c r="A32" s="58" t="s">
        <v>298</v>
      </c>
      <c r="B32" s="56">
        <v>3583.3333333333335</v>
      </c>
      <c r="C32" s="56">
        <v>0</v>
      </c>
      <c r="D32" s="56">
        <v>0</v>
      </c>
      <c r="E32" s="59">
        <f t="shared" si="0"/>
        <v>0</v>
      </c>
      <c r="G32" s="56"/>
    </row>
    <row r="33" spans="1:7">
      <c r="A33" s="55" t="s">
        <v>300</v>
      </c>
      <c r="B33" s="56">
        <v>73000.000000000015</v>
      </c>
      <c r="C33" s="56">
        <v>29873.110148989792</v>
      </c>
      <c r="D33" s="56">
        <v>31422.591495252876</v>
      </c>
      <c r="E33" s="60">
        <f>D33/B33</f>
        <v>0.43044645883908039</v>
      </c>
      <c r="G33" s="56"/>
    </row>
    <row r="34" spans="1:7" ht="14.45">
      <c r="A34"/>
      <c r="B34"/>
      <c r="C34"/>
      <c r="D34"/>
    </row>
    <row r="35" spans="1:7" ht="14.45">
      <c r="A35"/>
      <c r="B35"/>
      <c r="C35"/>
      <c r="D35"/>
    </row>
    <row r="36" spans="1:7" ht="14.45">
      <c r="A36"/>
      <c r="B36"/>
      <c r="C36"/>
      <c r="D36"/>
    </row>
    <row r="37" spans="1:7" ht="14.45">
      <c r="A37"/>
      <c r="B37"/>
      <c r="C37"/>
      <c r="D37"/>
    </row>
    <row r="38" spans="1:7" ht="14.45">
      <c r="A38"/>
      <c r="B38"/>
      <c r="C38"/>
      <c r="D38"/>
    </row>
    <row r="39" spans="1:7" ht="14.45">
      <c r="A39"/>
      <c r="B39"/>
      <c r="C39"/>
      <c r="D39"/>
    </row>
    <row r="40" spans="1:7" ht="14.45">
      <c r="A40"/>
      <c r="B40"/>
      <c r="C40"/>
      <c r="D40"/>
    </row>
    <row r="41" spans="1:7" ht="14.45">
      <c r="A41"/>
      <c r="B41"/>
      <c r="C41"/>
      <c r="D41"/>
    </row>
    <row r="42" spans="1:7" ht="14.45">
      <c r="A42"/>
      <c r="B42"/>
      <c r="C42"/>
      <c r="D42"/>
    </row>
    <row r="43" spans="1:7" ht="14.45">
      <c r="A43"/>
      <c r="B43"/>
      <c r="C43"/>
      <c r="D43"/>
    </row>
    <row r="44" spans="1:7" ht="14.45">
      <c r="A44"/>
      <c r="B44"/>
      <c r="C44"/>
      <c r="D44"/>
    </row>
    <row r="45" spans="1:7" ht="14.45">
      <c r="A45"/>
      <c r="B45"/>
      <c r="C45"/>
      <c r="D45"/>
    </row>
    <row r="46" spans="1:7" ht="14.45">
      <c r="A46"/>
      <c r="B46"/>
      <c r="C46"/>
      <c r="D46"/>
    </row>
    <row r="47" spans="1:7" ht="14.45">
      <c r="A47"/>
      <c r="B47"/>
      <c r="C47"/>
      <c r="D47"/>
    </row>
    <row r="48" spans="1:7" ht="14.45">
      <c r="A48"/>
      <c r="B48"/>
      <c r="C48"/>
      <c r="D48"/>
    </row>
    <row r="49" spans="1:4" ht="14.45">
      <c r="A49"/>
      <c r="B49"/>
      <c r="C49"/>
      <c r="D49"/>
    </row>
    <row r="50" spans="1:4" ht="14.45">
      <c r="A50"/>
      <c r="B50"/>
      <c r="C50"/>
      <c r="D50"/>
    </row>
    <row r="51" spans="1:4" ht="14.45">
      <c r="A51"/>
      <c r="B51"/>
      <c r="C51"/>
      <c r="D51"/>
    </row>
    <row r="52" spans="1:4" ht="14.45">
      <c r="A52"/>
      <c r="B52"/>
      <c r="C52"/>
      <c r="D52"/>
    </row>
    <row r="53" spans="1:4" ht="14.45">
      <c r="A53"/>
      <c r="B53"/>
      <c r="C53"/>
      <c r="D53"/>
    </row>
    <row r="54" spans="1:4" ht="14.45">
      <c r="A54"/>
      <c r="B54"/>
      <c r="C54"/>
      <c r="D54"/>
    </row>
    <row r="55" spans="1:4" ht="14.45">
      <c r="A55"/>
      <c r="B55"/>
      <c r="C55"/>
      <c r="D55"/>
    </row>
    <row r="56" spans="1:4" ht="14.45">
      <c r="A56"/>
      <c r="B56"/>
      <c r="C56"/>
      <c r="D56"/>
    </row>
    <row r="57" spans="1:4" ht="14.45">
      <c r="A57"/>
      <c r="B57"/>
      <c r="C57"/>
      <c r="D57"/>
    </row>
    <row r="58" spans="1:4" ht="14.45">
      <c r="A58"/>
      <c r="B58"/>
      <c r="C58"/>
      <c r="D58"/>
    </row>
    <row r="59" spans="1:4" ht="14.45">
      <c r="A59"/>
      <c r="B59"/>
      <c r="C59"/>
      <c r="D59"/>
    </row>
    <row r="60" spans="1:4" ht="14.45">
      <c r="A60"/>
      <c r="B60"/>
      <c r="C60"/>
      <c r="D60"/>
    </row>
    <row r="61" spans="1:4" ht="14.45">
      <c r="A61"/>
      <c r="B61"/>
      <c r="C61"/>
      <c r="D61"/>
    </row>
    <row r="62" spans="1:4" ht="14.45">
      <c r="A62"/>
      <c r="B62"/>
      <c r="C62"/>
      <c r="D62"/>
    </row>
    <row r="63" spans="1:4" ht="14.45">
      <c r="A63"/>
      <c r="B63"/>
      <c r="C63"/>
      <c r="D63"/>
    </row>
    <row r="64" spans="1:4" ht="14.45">
      <c r="A64"/>
      <c r="B64"/>
      <c r="C64"/>
      <c r="D64"/>
    </row>
    <row r="65" spans="1:4" ht="14.45">
      <c r="A65"/>
      <c r="B65"/>
      <c r="C65"/>
      <c r="D65"/>
    </row>
    <row r="66" spans="1:4" ht="14.45">
      <c r="A66"/>
      <c r="B66"/>
      <c r="C66"/>
      <c r="D66"/>
    </row>
    <row r="67" spans="1:4" ht="14.45">
      <c r="A67"/>
      <c r="B67"/>
      <c r="C67"/>
      <c r="D67"/>
    </row>
    <row r="68" spans="1:4" ht="14.45">
      <c r="A68"/>
      <c r="B68"/>
      <c r="C68"/>
      <c r="D68"/>
    </row>
    <row r="69" spans="1:4" ht="14.45">
      <c r="A69"/>
      <c r="B69"/>
      <c r="C69"/>
      <c r="D69"/>
    </row>
    <row r="70" spans="1:4" ht="14.45">
      <c r="A70"/>
      <c r="B70"/>
      <c r="C70"/>
      <c r="D70"/>
    </row>
    <row r="71" spans="1:4" ht="14.45">
      <c r="A71"/>
      <c r="B71"/>
      <c r="C71"/>
      <c r="D71"/>
    </row>
    <row r="72" spans="1:4" ht="14.45">
      <c r="A72"/>
      <c r="B72"/>
      <c r="C72"/>
      <c r="D72"/>
    </row>
    <row r="73" spans="1:4" ht="14.45">
      <c r="A73"/>
      <c r="B73"/>
      <c r="C73"/>
      <c r="D73"/>
    </row>
    <row r="74" spans="1:4" ht="14.45">
      <c r="A74"/>
      <c r="B74"/>
      <c r="C74"/>
      <c r="D74"/>
    </row>
    <row r="75" spans="1:4" ht="14.45">
      <c r="A75"/>
      <c r="B75"/>
      <c r="C75"/>
      <c r="D75"/>
    </row>
    <row r="76" spans="1:4" ht="14.45">
      <c r="A76"/>
      <c r="B76"/>
      <c r="C76"/>
      <c r="D76"/>
    </row>
    <row r="77" spans="1:4" ht="14.45">
      <c r="A77"/>
      <c r="B77"/>
      <c r="C77"/>
      <c r="D77"/>
    </row>
    <row r="78" spans="1:4" ht="14.45">
      <c r="A78"/>
      <c r="B78"/>
      <c r="C78"/>
      <c r="D78"/>
    </row>
    <row r="79" spans="1:4" ht="14.45">
      <c r="A79"/>
      <c r="B79"/>
      <c r="C79"/>
      <c r="D79"/>
    </row>
    <row r="80" spans="1:4" ht="14.45">
      <c r="A80"/>
      <c r="B80"/>
      <c r="C80"/>
      <c r="D80"/>
    </row>
    <row r="81" spans="1:4" ht="14.45">
      <c r="A81"/>
      <c r="B81"/>
      <c r="C81"/>
      <c r="D81"/>
    </row>
    <row r="82" spans="1:4" ht="14.45">
      <c r="A82"/>
      <c r="B82"/>
      <c r="C82"/>
      <c r="D82"/>
    </row>
    <row r="83" spans="1:4" ht="14.45">
      <c r="A83"/>
      <c r="B83"/>
      <c r="C83"/>
      <c r="D83"/>
    </row>
    <row r="84" spans="1:4" ht="14.45">
      <c r="A84"/>
      <c r="B84"/>
      <c r="C84"/>
      <c r="D84"/>
    </row>
    <row r="85" spans="1:4" ht="14.45">
      <c r="A85"/>
      <c r="B85"/>
      <c r="C85"/>
      <c r="D85"/>
    </row>
    <row r="86" spans="1:4" ht="14.45">
      <c r="A86"/>
      <c r="B86"/>
      <c r="C86"/>
      <c r="D86"/>
    </row>
    <row r="87" spans="1:4" ht="14.45">
      <c r="A87"/>
      <c r="B87"/>
      <c r="C87"/>
      <c r="D87"/>
    </row>
    <row r="88" spans="1:4" ht="14.45">
      <c r="A88"/>
      <c r="B88"/>
      <c r="C88"/>
      <c r="D88"/>
    </row>
    <row r="89" spans="1:4" ht="14.45">
      <c r="A89"/>
      <c r="B89"/>
      <c r="C89"/>
      <c r="D89"/>
    </row>
    <row r="90" spans="1:4" ht="14.45">
      <c r="A90"/>
      <c r="B90"/>
      <c r="C90"/>
      <c r="D90"/>
    </row>
    <row r="91" spans="1:4" ht="14.45">
      <c r="A91"/>
      <c r="B91"/>
      <c r="C91"/>
      <c r="D91"/>
    </row>
    <row r="92" spans="1:4" ht="14.45">
      <c r="A92"/>
      <c r="B92"/>
      <c r="C92"/>
      <c r="D92"/>
    </row>
    <row r="93" spans="1:4" ht="14.45">
      <c r="A93"/>
      <c r="B93"/>
      <c r="C93"/>
      <c r="D93"/>
    </row>
    <row r="94" spans="1:4" ht="14.45">
      <c r="A94"/>
      <c r="B94"/>
      <c r="C94"/>
      <c r="D94"/>
    </row>
    <row r="95" spans="1:4" ht="14.45">
      <c r="A95"/>
      <c r="B95"/>
      <c r="C95"/>
      <c r="D95"/>
    </row>
    <row r="96" spans="1:4" ht="14.45">
      <c r="A96"/>
      <c r="B96"/>
      <c r="C96"/>
      <c r="D96"/>
    </row>
    <row r="97" spans="1:4" ht="14.45">
      <c r="A97"/>
      <c r="B97"/>
      <c r="C97"/>
      <c r="D97"/>
    </row>
    <row r="98" spans="1:4" ht="14.45">
      <c r="A98"/>
      <c r="B98"/>
      <c r="C98"/>
      <c r="D98"/>
    </row>
    <row r="99" spans="1:4" ht="14.45">
      <c r="A99"/>
      <c r="B99"/>
      <c r="C99"/>
      <c r="D99"/>
    </row>
    <row r="100" spans="1:4" ht="14.45">
      <c r="A100"/>
      <c r="B100"/>
      <c r="C100"/>
      <c r="D100"/>
    </row>
    <row r="101" spans="1:4" ht="14.45">
      <c r="A101"/>
      <c r="B101"/>
      <c r="C101"/>
      <c r="D101"/>
    </row>
    <row r="102" spans="1:4" ht="14.45">
      <c r="A102"/>
      <c r="B102"/>
      <c r="C102"/>
      <c r="D102"/>
    </row>
    <row r="103" spans="1:4" ht="14.45">
      <c r="A103"/>
      <c r="B103"/>
      <c r="C103"/>
      <c r="D103"/>
    </row>
    <row r="104" spans="1:4" ht="14.45">
      <c r="A104"/>
      <c r="B104"/>
      <c r="C104"/>
      <c r="D104"/>
    </row>
    <row r="105" spans="1:4" ht="14.45">
      <c r="A105"/>
      <c r="B105"/>
      <c r="C105"/>
      <c r="D105"/>
    </row>
    <row r="106" spans="1:4" ht="14.45">
      <c r="A106"/>
      <c r="B106"/>
      <c r="C106"/>
      <c r="D106"/>
    </row>
    <row r="107" spans="1:4" ht="14.45">
      <c r="A107"/>
      <c r="B107"/>
      <c r="C107"/>
      <c r="D107"/>
    </row>
    <row r="108" spans="1:4" ht="14.45">
      <c r="A108"/>
      <c r="B108"/>
      <c r="C108"/>
      <c r="D108"/>
    </row>
    <row r="109" spans="1:4" ht="14.45">
      <c r="A109"/>
      <c r="B109"/>
      <c r="C109"/>
      <c r="D109"/>
    </row>
    <row r="110" spans="1:4" ht="14.45">
      <c r="A110"/>
      <c r="B110"/>
      <c r="C110"/>
      <c r="D110"/>
    </row>
    <row r="111" spans="1:4" ht="14.45">
      <c r="A111"/>
      <c r="B111"/>
      <c r="C111"/>
      <c r="D111"/>
    </row>
    <row r="112" spans="1:4" ht="14.45">
      <c r="A112"/>
      <c r="B112"/>
      <c r="C112"/>
      <c r="D112"/>
    </row>
    <row r="113" spans="1:4" ht="14.45">
      <c r="A113"/>
      <c r="B113"/>
      <c r="C113"/>
      <c r="D113"/>
    </row>
    <row r="114" spans="1:4" ht="14.45">
      <c r="A114"/>
      <c r="B114"/>
      <c r="C114"/>
      <c r="D114"/>
    </row>
    <row r="115" spans="1:4" ht="14.45">
      <c r="A115"/>
      <c r="B115"/>
      <c r="C115"/>
      <c r="D115"/>
    </row>
    <row r="116" spans="1:4" ht="14.45">
      <c r="A116"/>
      <c r="B116"/>
      <c r="C116"/>
      <c r="D116"/>
    </row>
    <row r="117" spans="1:4" ht="14.45">
      <c r="A117"/>
      <c r="B117"/>
      <c r="C117"/>
      <c r="D117"/>
    </row>
    <row r="118" spans="1:4" ht="14.45">
      <c r="A118"/>
      <c r="B118"/>
      <c r="C118"/>
      <c r="D118"/>
    </row>
    <row r="119" spans="1:4" ht="14.45">
      <c r="A119"/>
      <c r="B119"/>
      <c r="C119"/>
      <c r="D119"/>
    </row>
    <row r="120" spans="1:4" ht="14.45">
      <c r="A120"/>
      <c r="B120"/>
      <c r="C120"/>
      <c r="D120"/>
    </row>
    <row r="121" spans="1:4" ht="14.45">
      <c r="A121"/>
      <c r="B121"/>
      <c r="C121"/>
      <c r="D121"/>
    </row>
  </sheetData>
  <mergeCells count="1">
    <mergeCell ref="A1:E1"/>
  </mergeCells>
  <phoneticPr fontId="10" type="noConversion"/>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sqref="A1:D1"/>
    </sheetView>
  </sheetViews>
  <sheetFormatPr defaultRowHeight="14.45"/>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BW62"/>
  <sheetViews>
    <sheetView zoomScale="110" zoomScaleNormal="110" workbookViewId="0">
      <selection activeCell="C11" sqref="C11"/>
    </sheetView>
  </sheetViews>
  <sheetFormatPr defaultRowHeight="14.45"/>
  <cols>
    <col min="1" max="1" width="5.42578125" style="11" bestFit="1" customWidth="1"/>
    <col min="2" max="2" width="11.140625" bestFit="1" customWidth="1"/>
    <col min="3" max="3" width="11.5703125" bestFit="1" customWidth="1"/>
    <col min="4" max="4" width="12.5703125" style="49" bestFit="1" customWidth="1"/>
    <col min="5" max="5" width="11.5703125" bestFit="1" customWidth="1"/>
    <col min="6" max="6" width="10" bestFit="1" customWidth="1"/>
    <col min="7" max="14" width="11.5703125" bestFit="1" customWidth="1"/>
    <col min="15" max="15" width="6.28515625" bestFit="1" customWidth="1"/>
    <col min="16" max="17" width="10" bestFit="1" customWidth="1"/>
    <col min="18" max="18" width="7.7109375" bestFit="1" customWidth="1"/>
    <col min="19" max="20" width="10" bestFit="1" customWidth="1"/>
    <col min="21" max="21" width="9.140625" bestFit="1" customWidth="1"/>
    <col min="22" max="22" width="10" bestFit="1" customWidth="1"/>
    <col min="23" max="23" width="9.7109375" customWidth="1"/>
    <col min="24" max="24" width="8.85546875" customWidth="1"/>
    <col min="25" max="25" width="11.5703125" bestFit="1" customWidth="1"/>
    <col min="26" max="26" width="12.140625" customWidth="1"/>
    <col min="27" max="27" width="7.28515625" bestFit="1" customWidth="1"/>
    <col min="28" max="28" width="10.5703125" bestFit="1" customWidth="1"/>
    <col min="29" max="29" width="9.7109375" customWidth="1"/>
    <col min="30" max="30" width="7.28515625" bestFit="1" customWidth="1"/>
    <col min="31" max="31" width="11.5703125" bestFit="1" customWidth="1"/>
    <col min="32" max="32" width="12.140625" customWidth="1"/>
    <col min="33" max="33" width="7.28515625" bestFit="1" customWidth="1"/>
    <col min="34" max="34" width="9.85546875" customWidth="1"/>
    <col min="35" max="35" width="11.42578125" customWidth="1"/>
    <col min="36" max="36" width="7.28515625" bestFit="1" customWidth="1"/>
    <col min="37" max="37" width="11.5703125" bestFit="1" customWidth="1"/>
    <col min="38" max="38" width="11.7109375" customWidth="1"/>
    <col min="39" max="39" width="7.28515625" bestFit="1" customWidth="1"/>
    <col min="40" max="40" width="9.85546875" customWidth="1"/>
    <col min="41" max="41" width="10.28515625" customWidth="1"/>
    <col min="42" max="42" width="7.5703125" bestFit="1" customWidth="1"/>
    <col min="43" max="43" width="11.5703125" bestFit="1" customWidth="1"/>
    <col min="44" max="44" width="12.85546875" customWidth="1"/>
    <col min="45" max="45" width="7.28515625" bestFit="1" customWidth="1"/>
    <col min="46" max="46" width="10.5703125" bestFit="1" customWidth="1"/>
    <col min="47" max="47" width="10.42578125" customWidth="1"/>
    <col min="48" max="48" width="8.85546875" customWidth="1"/>
    <col min="49" max="50" width="12.5703125" customWidth="1"/>
    <col min="51" max="51" width="7.28515625" bestFit="1" customWidth="1"/>
    <col min="52" max="53" width="10.7109375" customWidth="1"/>
    <col min="54" max="54" width="7.28515625" bestFit="1" customWidth="1"/>
    <col min="55" max="55" width="11.5703125" customWidth="1"/>
    <col min="56" max="56" width="12.28515625" customWidth="1"/>
    <col min="57" max="57" width="7.28515625" bestFit="1" customWidth="1"/>
    <col min="58" max="58" width="10.5703125" bestFit="1" customWidth="1"/>
    <col min="59" max="59" width="10" bestFit="1" customWidth="1"/>
    <col min="60" max="60" width="7.28515625" bestFit="1" customWidth="1"/>
    <col min="61" max="61" width="11.5703125" bestFit="1" customWidth="1"/>
    <col min="62" max="62" width="12.28515625" customWidth="1"/>
    <col min="63" max="63" width="7.28515625" bestFit="1" customWidth="1"/>
    <col min="64" max="64" width="10.5703125" bestFit="1" customWidth="1"/>
    <col min="65" max="65" width="9.7109375" customWidth="1"/>
    <col min="66" max="66" width="8" customWidth="1"/>
    <col min="67" max="68" width="11.5703125" bestFit="1" customWidth="1"/>
    <col min="69" max="69" width="8" customWidth="1"/>
    <col min="70" max="70" width="9.85546875" customWidth="1"/>
    <col min="71" max="71" width="9" customWidth="1"/>
    <col min="72" max="72" width="7.28515625" bestFit="1" customWidth="1"/>
    <col min="73" max="74" width="11.5703125" bestFit="1" customWidth="1"/>
    <col min="75" max="75" width="8.5703125" customWidth="1"/>
  </cols>
  <sheetData>
    <row r="1" spans="1:75" s="11" customFormat="1" ht="29.1">
      <c r="B1" s="16" t="s">
        <v>301</v>
      </c>
      <c r="C1" s="12" t="s">
        <v>302</v>
      </c>
      <c r="D1" s="67" t="s">
        <v>303</v>
      </c>
      <c r="E1" s="68" t="s">
        <v>304</v>
      </c>
      <c r="F1" s="68" t="s">
        <v>305</v>
      </c>
      <c r="G1" s="68" t="s">
        <v>306</v>
      </c>
      <c r="H1" s="68" t="s">
        <v>307</v>
      </c>
      <c r="I1" s="68" t="s">
        <v>308</v>
      </c>
      <c r="J1" s="9" t="s">
        <v>309</v>
      </c>
      <c r="K1" s="9" t="s">
        <v>310</v>
      </c>
      <c r="L1" s="9" t="s">
        <v>305</v>
      </c>
      <c r="M1" s="9" t="s">
        <v>306</v>
      </c>
      <c r="N1" s="9" t="s">
        <v>307</v>
      </c>
      <c r="O1" s="9" t="s">
        <v>308</v>
      </c>
      <c r="P1" s="67" t="s">
        <v>311</v>
      </c>
      <c r="Q1" s="68" t="s">
        <v>312</v>
      </c>
      <c r="R1" s="68" t="s">
        <v>305</v>
      </c>
      <c r="S1" s="68" t="s">
        <v>306</v>
      </c>
      <c r="T1" s="68" t="s">
        <v>307</v>
      </c>
      <c r="U1" s="68" t="s">
        <v>308</v>
      </c>
      <c r="V1" s="9" t="s">
        <v>313</v>
      </c>
      <c r="W1" s="9" t="s">
        <v>314</v>
      </c>
      <c r="X1" s="9" t="s">
        <v>305</v>
      </c>
      <c r="Y1" s="9" t="s">
        <v>306</v>
      </c>
      <c r="Z1" s="9" t="s">
        <v>307</v>
      </c>
      <c r="AA1" s="9" t="s">
        <v>308</v>
      </c>
      <c r="AB1" s="67" t="s">
        <v>315</v>
      </c>
      <c r="AC1" s="68" t="s">
        <v>316</v>
      </c>
      <c r="AD1" s="68" t="s">
        <v>305</v>
      </c>
      <c r="AE1" s="68" t="s">
        <v>306</v>
      </c>
      <c r="AF1" s="68" t="s">
        <v>307</v>
      </c>
      <c r="AG1" s="68" t="s">
        <v>308</v>
      </c>
      <c r="AH1" s="9" t="s">
        <v>317</v>
      </c>
      <c r="AI1" s="9" t="s">
        <v>318</v>
      </c>
      <c r="AJ1" s="9" t="s">
        <v>305</v>
      </c>
      <c r="AK1" s="9" t="s">
        <v>306</v>
      </c>
      <c r="AL1" s="9" t="s">
        <v>307</v>
      </c>
      <c r="AM1" s="9" t="s">
        <v>308</v>
      </c>
      <c r="AN1" s="67" t="s">
        <v>319</v>
      </c>
      <c r="AO1" s="68" t="s">
        <v>320</v>
      </c>
      <c r="AP1" s="68" t="s">
        <v>305</v>
      </c>
      <c r="AQ1" s="68" t="s">
        <v>306</v>
      </c>
      <c r="AR1" s="68" t="s">
        <v>307</v>
      </c>
      <c r="AS1" s="68" t="s">
        <v>308</v>
      </c>
      <c r="AT1" s="9" t="s">
        <v>321</v>
      </c>
      <c r="AU1" s="9" t="s">
        <v>322</v>
      </c>
      <c r="AV1" s="9" t="s">
        <v>305</v>
      </c>
      <c r="AW1" s="9" t="s">
        <v>306</v>
      </c>
      <c r="AX1" s="9" t="s">
        <v>307</v>
      </c>
      <c r="AY1" s="9" t="s">
        <v>308</v>
      </c>
      <c r="AZ1" s="67" t="s">
        <v>323</v>
      </c>
      <c r="BA1" s="68" t="s">
        <v>324</v>
      </c>
      <c r="BB1" s="68" t="s">
        <v>305</v>
      </c>
      <c r="BC1" s="68" t="s">
        <v>306</v>
      </c>
      <c r="BD1" s="68" t="s">
        <v>307</v>
      </c>
      <c r="BE1" s="68" t="s">
        <v>308</v>
      </c>
      <c r="BF1" s="9" t="s">
        <v>325</v>
      </c>
      <c r="BG1" s="9" t="s">
        <v>326</v>
      </c>
      <c r="BH1" s="9" t="s">
        <v>305</v>
      </c>
      <c r="BI1" s="9" t="s">
        <v>306</v>
      </c>
      <c r="BJ1" s="9" t="s">
        <v>307</v>
      </c>
      <c r="BK1" s="9" t="s">
        <v>308</v>
      </c>
      <c r="BL1" s="67" t="s">
        <v>327</v>
      </c>
      <c r="BM1" s="68" t="s">
        <v>328</v>
      </c>
      <c r="BN1" s="68" t="s">
        <v>305</v>
      </c>
      <c r="BO1" s="68" t="s">
        <v>306</v>
      </c>
      <c r="BP1" s="68" t="s">
        <v>307</v>
      </c>
      <c r="BQ1" s="68" t="s">
        <v>308</v>
      </c>
      <c r="BR1" s="9" t="s">
        <v>329</v>
      </c>
      <c r="BS1" s="9" t="s">
        <v>330</v>
      </c>
      <c r="BT1" s="9" t="s">
        <v>305</v>
      </c>
      <c r="BU1" s="9" t="s">
        <v>306</v>
      </c>
      <c r="BV1" s="9" t="s">
        <v>307</v>
      </c>
      <c r="BW1" s="9" t="s">
        <v>308</v>
      </c>
    </row>
    <row r="2" spans="1:75">
      <c r="A2" s="11">
        <v>1</v>
      </c>
      <c r="B2" s="2" t="s">
        <v>331</v>
      </c>
      <c r="C2" s="6">
        <v>91320</v>
      </c>
      <c r="D2" s="50">
        <f>C2/12</f>
        <v>7610</v>
      </c>
      <c r="E2" s="3">
        <f>IF(AU!L24=0,0,IF(AU!K24-AU!L24&lt;=0,0,AU!K24-AU!L24))</f>
        <v>0</v>
      </c>
      <c r="F2" s="8">
        <f t="shared" ref="F2:F11" si="0">E2/D2</f>
        <v>0</v>
      </c>
      <c r="G2" s="3">
        <f>D2</f>
        <v>7610</v>
      </c>
      <c r="H2" s="7">
        <f>E2</f>
        <v>0</v>
      </c>
      <c r="I2" s="4">
        <f>H2/G2</f>
        <v>0</v>
      </c>
      <c r="J2" s="3">
        <f>D2</f>
        <v>7610</v>
      </c>
      <c r="K2" s="3">
        <f>IF(AU!O24=0,0,IF(AU!N24-AU!O24&lt;=0,0,AU!N24-AU!O24))</f>
        <v>0</v>
      </c>
      <c r="L2" s="8">
        <f t="shared" ref="L2:L11" si="1">K2/J2</f>
        <v>0</v>
      </c>
      <c r="M2" s="3">
        <f>$D2+G2</f>
        <v>15220</v>
      </c>
      <c r="N2" s="7">
        <f>K2+H2</f>
        <v>0</v>
      </c>
      <c r="O2" s="4">
        <f>N2/M2</f>
        <v>0</v>
      </c>
      <c r="P2" s="3">
        <f>J2</f>
        <v>7610</v>
      </c>
      <c r="Q2" s="51">
        <f>IF(AU!R24=0,0,IF(AU!Q24-AU!R24&lt;=0,0,AU!Q24-AU!R24))</f>
        <v>0</v>
      </c>
      <c r="R2" s="8">
        <f t="shared" ref="R2:R11" si="2">Q2/P2</f>
        <v>0</v>
      </c>
      <c r="S2" s="3">
        <f>$D2+M2</f>
        <v>22830</v>
      </c>
      <c r="T2" s="7">
        <f>Q2+N2</f>
        <v>0</v>
      </c>
      <c r="U2" s="4">
        <f t="shared" ref="U2:U11" si="3">T2/S2</f>
        <v>0</v>
      </c>
      <c r="V2" s="3">
        <f>P2</f>
        <v>7610</v>
      </c>
      <c r="W2" s="3">
        <f>IF(AU!U24=0,0,IF(AU!T24-AU!U24&lt;=0,0,AU!T24-AU!U24))</f>
        <v>0</v>
      </c>
      <c r="X2" s="8">
        <f t="shared" ref="X2:X11" si="4">W2/V2</f>
        <v>0</v>
      </c>
      <c r="Y2" s="3">
        <f>$D2+S2</f>
        <v>30440</v>
      </c>
      <c r="Z2" s="7">
        <f>W2+T2</f>
        <v>0</v>
      </c>
      <c r="AA2" s="4">
        <f t="shared" ref="AA2:AA11" si="5">Z2/Y2</f>
        <v>0</v>
      </c>
      <c r="AB2" s="3">
        <f>V2</f>
        <v>7610</v>
      </c>
      <c r="AC2" s="3">
        <f>IF(AU!X24=0,0,IF(AU!W24-AU!X24&lt;=0,0,AU!W24-AU!X24))</f>
        <v>0</v>
      </c>
      <c r="AD2" s="8">
        <f t="shared" ref="AD2:AD11" si="6">AC2/AB2</f>
        <v>0</v>
      </c>
      <c r="AE2" s="3">
        <f>$D2+Y2</f>
        <v>38050</v>
      </c>
      <c r="AF2" s="7">
        <f t="shared" ref="AF2:AF11" si="7">AC2+Z2</f>
        <v>0</v>
      </c>
      <c r="AG2" s="4">
        <f t="shared" ref="AG2:AG11" si="8">AF2/AE2</f>
        <v>0</v>
      </c>
      <c r="AH2" s="3">
        <f>AB2</f>
        <v>7610</v>
      </c>
      <c r="AI2" s="3">
        <f>IF(AU!AA24=0,0,IF(AU!Z24-AU!AA24&lt;=0,0,AU!Z24-AU!AA24))</f>
        <v>0</v>
      </c>
      <c r="AJ2" s="8">
        <f t="shared" ref="AJ2:AJ11" si="9">AI2/AH2</f>
        <v>0</v>
      </c>
      <c r="AK2" s="3">
        <f>$D2+AE2</f>
        <v>45660</v>
      </c>
      <c r="AL2" s="7">
        <f t="shared" ref="AL2:AL11" si="10">AI2+AF2</f>
        <v>0</v>
      </c>
      <c r="AM2" s="4">
        <f t="shared" ref="AM2:AM11" si="11">AL2/AK2</f>
        <v>0</v>
      </c>
      <c r="AN2" s="3">
        <f>AH2</f>
        <v>7610</v>
      </c>
      <c r="AO2" s="3">
        <f>IF(AU!AD24=0,0,IF(AU!AC24-AU!AD24&lt;=0,0,AU!AC24-AU!AD24))</f>
        <v>0</v>
      </c>
      <c r="AP2" s="8">
        <f t="shared" ref="AP2:AP11" si="12">AO2/AN2</f>
        <v>0</v>
      </c>
      <c r="AQ2" s="3">
        <f>$D2+AK2</f>
        <v>53270</v>
      </c>
      <c r="AR2" s="7">
        <f t="shared" ref="AR2:AR11" si="13">AO2+AL2</f>
        <v>0</v>
      </c>
      <c r="AS2" s="4">
        <f t="shared" ref="AS2:AS11" si="14">AR2/AQ2</f>
        <v>0</v>
      </c>
      <c r="AT2" s="3">
        <f>AN2</f>
        <v>7610</v>
      </c>
      <c r="AU2" s="3">
        <f>IF(AU!AG24=0,0,IF(AU!AF24-AU!AG24&lt;=0,0,AU!AF24-AU!AG24))</f>
        <v>0</v>
      </c>
      <c r="AV2" s="8">
        <f t="shared" ref="AV2:AV11" si="15">AU2/AT2</f>
        <v>0</v>
      </c>
      <c r="AW2" s="3">
        <f>$D2+AQ2</f>
        <v>60880</v>
      </c>
      <c r="AX2" s="7">
        <f t="shared" ref="AX2:AX11" si="16">AU2+AR2</f>
        <v>0</v>
      </c>
      <c r="AY2" s="4">
        <f t="shared" ref="AY2:AY11" si="17">AX2/AW2</f>
        <v>0</v>
      </c>
      <c r="AZ2" s="3">
        <f>AT2</f>
        <v>7610</v>
      </c>
      <c r="BA2" s="3">
        <f>IF(AU!AJ24=0,0,IF(AU!AI24-AU!AJ24&lt;=0,0,AU!AI24-AU!AJ24))</f>
        <v>0</v>
      </c>
      <c r="BB2" s="8">
        <f t="shared" ref="BB2:BB11" si="18">BA2/AZ2</f>
        <v>0</v>
      </c>
      <c r="BC2" s="3">
        <f>$D2+AW2</f>
        <v>68490</v>
      </c>
      <c r="BD2" s="7">
        <f t="shared" ref="BD2:BD11" si="19">BA2+AX2</f>
        <v>0</v>
      </c>
      <c r="BE2" s="4">
        <f t="shared" ref="BE2:BE11" si="20">BD2/BC2</f>
        <v>0</v>
      </c>
      <c r="BF2" s="3">
        <f>AZ2</f>
        <v>7610</v>
      </c>
      <c r="BG2" s="3">
        <f>IF(AU!AM24=0,0,IF(AU!AL24-AU!AM24&lt;=0,0,AU!AL24-AU!AM24))</f>
        <v>0</v>
      </c>
      <c r="BH2" s="8">
        <f t="shared" ref="BH2:BH11" si="21">BG2/BF2</f>
        <v>0</v>
      </c>
      <c r="BI2" s="3">
        <f>$D2+BC2</f>
        <v>76100</v>
      </c>
      <c r="BJ2" s="7">
        <f t="shared" ref="BJ2:BJ11" si="22">BG2+BD2</f>
        <v>0</v>
      </c>
      <c r="BK2" s="4">
        <f t="shared" ref="BK2:BK11" si="23">BJ2/BI2</f>
        <v>0</v>
      </c>
      <c r="BL2" s="3">
        <f>BF2</f>
        <v>7610</v>
      </c>
      <c r="BM2" s="3">
        <f>IF(AU!AP24=0,0,IF(AU!AO24-AU!AP24&lt;=0,0,AU!AO24-AU!AP24))</f>
        <v>0</v>
      </c>
      <c r="BN2" s="8">
        <f t="shared" ref="BN2:BN11" si="24">BM2/BL2</f>
        <v>0</v>
      </c>
      <c r="BO2" s="3">
        <f>$D2+BI2</f>
        <v>83710</v>
      </c>
      <c r="BP2" s="7">
        <f t="shared" ref="BP2:BP11" si="25">BM2+BJ2</f>
        <v>0</v>
      </c>
      <c r="BQ2" s="4">
        <f t="shared" ref="BQ2:BQ11" si="26">BP2/BO2</f>
        <v>0</v>
      </c>
      <c r="BR2" s="3">
        <f>BL2</f>
        <v>7610</v>
      </c>
      <c r="BS2" s="3">
        <f>IF(AU!AS24=0,0,IF(AU!AR24-AU!AS24&lt;=0,0,AU!AR24-AU!AS24))</f>
        <v>0</v>
      </c>
      <c r="BT2" s="8">
        <f>BS2/BR2</f>
        <v>0</v>
      </c>
      <c r="BU2" s="3">
        <f>$D2+BO2</f>
        <v>91320</v>
      </c>
      <c r="BV2" s="7">
        <f t="shared" ref="BV2:BV11" si="27">BS2+BP2</f>
        <v>0</v>
      </c>
      <c r="BW2" s="4">
        <f t="shared" ref="BW2:BW11" si="28">BV2/BU2</f>
        <v>0</v>
      </c>
    </row>
    <row r="3" spans="1:75">
      <c r="A3" s="11">
        <v>2</v>
      </c>
      <c r="B3" s="2" t="s">
        <v>332</v>
      </c>
      <c r="C3" s="6">
        <v>207244</v>
      </c>
      <c r="D3" s="50">
        <f t="shared" ref="D3:D11" si="29">C3/12</f>
        <v>17270.333333333332</v>
      </c>
      <c r="E3" s="3">
        <f>IF(CN!L24=0,0,IF(CN!K24-CN!L24&lt;=0,0,CN!K24-CN!L24))</f>
        <v>0</v>
      </c>
      <c r="F3" s="8">
        <f t="shared" si="0"/>
        <v>0</v>
      </c>
      <c r="G3" s="3">
        <f t="shared" ref="G3:G12" si="30">D3</f>
        <v>17270.333333333332</v>
      </c>
      <c r="H3" s="7">
        <f t="shared" ref="H3:H11" si="31">E3</f>
        <v>0</v>
      </c>
      <c r="I3" s="4">
        <f t="shared" ref="I3:I11" si="32">H3/G3</f>
        <v>0</v>
      </c>
      <c r="J3" s="3">
        <f t="shared" ref="J3:J12" si="33">D3</f>
        <v>17270.333333333332</v>
      </c>
      <c r="K3" s="3">
        <f>IF(CN!O24=0,0,IF(CN!N24-CN!O24&lt;=0,0,CN!N24-CN!O24))</f>
        <v>0</v>
      </c>
      <c r="L3" s="8">
        <f t="shared" si="1"/>
        <v>0</v>
      </c>
      <c r="M3" s="3">
        <f t="shared" ref="M3:M12" si="34">$D3+G3</f>
        <v>34540.666666666664</v>
      </c>
      <c r="N3" s="7">
        <f t="shared" ref="N3:N11" si="35">K3+H3</f>
        <v>0</v>
      </c>
      <c r="O3" s="4">
        <f t="shared" ref="O3:O12" si="36">N3/M3</f>
        <v>0</v>
      </c>
      <c r="P3" s="3">
        <f t="shared" ref="P3:P12" si="37">J3</f>
        <v>17270.333333333332</v>
      </c>
      <c r="Q3" s="51">
        <f>IF(CN!R24=0,0,IF(CN!Q24-CN!R24&lt;=0,0,CN!Q24-CN!R24))</f>
        <v>0</v>
      </c>
      <c r="R3" s="8">
        <f t="shared" si="2"/>
        <v>0</v>
      </c>
      <c r="S3" s="3">
        <f t="shared" ref="S3:S12" si="38">$D3+M3</f>
        <v>51811</v>
      </c>
      <c r="T3" s="7">
        <f t="shared" ref="T3:T11" si="39">Q3+N3</f>
        <v>0</v>
      </c>
      <c r="U3" s="4">
        <f t="shared" si="3"/>
        <v>0</v>
      </c>
      <c r="V3" s="3">
        <f t="shared" ref="V3:V12" si="40">P3</f>
        <v>17270.333333333332</v>
      </c>
      <c r="W3" s="3">
        <f>IF(CN!U24=0,0,IF(CN!T24-CN!U24&lt;=0,0,CN!T24-CN!U24))</f>
        <v>0</v>
      </c>
      <c r="X3" s="8">
        <f t="shared" si="4"/>
        <v>0</v>
      </c>
      <c r="Y3" s="3">
        <f t="shared" ref="Y3:Y12" si="41">$D3+S3</f>
        <v>69081.333333333328</v>
      </c>
      <c r="Z3" s="7">
        <f t="shared" ref="Z3:Z11" si="42">W3+T3</f>
        <v>0</v>
      </c>
      <c r="AA3" s="4">
        <f t="shared" si="5"/>
        <v>0</v>
      </c>
      <c r="AB3" s="3">
        <f t="shared" ref="AB3:AB12" si="43">V3</f>
        <v>17270.333333333332</v>
      </c>
      <c r="AC3" s="3">
        <f>IF(CN!X24=0,0,IF(CN!W24-CN!X24&lt;=0,0,CN!W24-CN!X24))</f>
        <v>0</v>
      </c>
      <c r="AD3" s="8">
        <f t="shared" si="6"/>
        <v>0</v>
      </c>
      <c r="AE3" s="3">
        <f t="shared" ref="AE3:AE12" si="44">$D3+Y3</f>
        <v>86351.666666666657</v>
      </c>
      <c r="AF3" s="7">
        <f t="shared" si="7"/>
        <v>0</v>
      </c>
      <c r="AG3" s="4">
        <f t="shared" si="8"/>
        <v>0</v>
      </c>
      <c r="AH3" s="3">
        <f t="shared" ref="AH3:AH12" si="45">AB3</f>
        <v>17270.333333333332</v>
      </c>
      <c r="AI3" s="3">
        <f>IF(CN!AA24=0,0,IF(CN!Z24-CN!AA24&lt;=0,0,CN!Z24-CN!AA24))</f>
        <v>0</v>
      </c>
      <c r="AJ3" s="8">
        <f t="shared" si="9"/>
        <v>0</v>
      </c>
      <c r="AK3" s="3">
        <f t="shared" ref="AK3:AK12" si="46">$D3+AE3</f>
        <v>103621.99999999999</v>
      </c>
      <c r="AL3" s="7">
        <f t="shared" si="10"/>
        <v>0</v>
      </c>
      <c r="AM3" s="4">
        <f t="shared" si="11"/>
        <v>0</v>
      </c>
      <c r="AN3" s="3">
        <f t="shared" ref="AN3:AN12" si="47">AH3</f>
        <v>17270.333333333332</v>
      </c>
      <c r="AO3" s="3">
        <f>IF(CN!AD24=0,0,IF(CN!AC24-CN!AD24&lt;=0,0,CN!AC24-CN!AD24))</f>
        <v>0</v>
      </c>
      <c r="AP3" s="8">
        <f t="shared" si="12"/>
        <v>0</v>
      </c>
      <c r="AQ3" s="3">
        <f t="shared" ref="AQ3:AQ12" si="48">$D3+AK3</f>
        <v>120892.33333333331</v>
      </c>
      <c r="AR3" s="7">
        <f t="shared" si="13"/>
        <v>0</v>
      </c>
      <c r="AS3" s="4">
        <f t="shared" si="14"/>
        <v>0</v>
      </c>
      <c r="AT3" s="3">
        <f t="shared" ref="AT3:AT12" si="49">AN3</f>
        <v>17270.333333333332</v>
      </c>
      <c r="AU3" s="3">
        <f>IF(CN!AG24=0,0,IF(CN!AF24-CN!AG24&lt;=0,0,CN!AF24-CN!AG24))</f>
        <v>0</v>
      </c>
      <c r="AV3" s="8">
        <f t="shared" si="15"/>
        <v>0</v>
      </c>
      <c r="AW3" s="3">
        <f t="shared" ref="AW3:AW12" si="50">$D3+AQ3</f>
        <v>138162.66666666666</v>
      </c>
      <c r="AX3" s="7">
        <f t="shared" si="16"/>
        <v>0</v>
      </c>
      <c r="AY3" s="4">
        <f t="shared" si="17"/>
        <v>0</v>
      </c>
      <c r="AZ3" s="3">
        <f t="shared" ref="AZ3:AZ12" si="51">AT3</f>
        <v>17270.333333333332</v>
      </c>
      <c r="BA3" s="3">
        <f>IF(CN!AJ24=0,0,IF(CN!AI24-CN!AJ24&lt;=0,0,CN!AI24-CN!AJ24))</f>
        <v>0</v>
      </c>
      <c r="BB3" s="8">
        <f t="shared" si="18"/>
        <v>0</v>
      </c>
      <c r="BC3" s="3">
        <f t="shared" ref="BC3:BC12" si="52">$D3+AW3</f>
        <v>155433</v>
      </c>
      <c r="BD3" s="7">
        <f t="shared" si="19"/>
        <v>0</v>
      </c>
      <c r="BE3" s="4">
        <f t="shared" si="20"/>
        <v>0</v>
      </c>
      <c r="BF3" s="3">
        <f t="shared" ref="BF3:BF12" si="53">AZ3</f>
        <v>17270.333333333332</v>
      </c>
      <c r="BG3" s="3">
        <f>IF(CN!AM24=0,0,IF(CN!AL24-CN!AM24&lt;=0,0,CN!AL24-CN!AM24))</f>
        <v>0</v>
      </c>
      <c r="BH3" s="8">
        <f t="shared" si="21"/>
        <v>0</v>
      </c>
      <c r="BI3" s="3">
        <f t="shared" ref="BI3:BI12" si="54">$D3+BC3</f>
        <v>172703.33333333334</v>
      </c>
      <c r="BJ3" s="7">
        <f t="shared" si="22"/>
        <v>0</v>
      </c>
      <c r="BK3" s="4">
        <f t="shared" si="23"/>
        <v>0</v>
      </c>
      <c r="BL3" s="3">
        <f t="shared" ref="BL3:BL12" si="55">BF3</f>
        <v>17270.333333333332</v>
      </c>
      <c r="BM3" s="3">
        <f>IF(CN!AP24=0,0,IF(CN!AO24-CN!AP24&lt;=0,0,CN!AO24-CN!AP24))</f>
        <v>0</v>
      </c>
      <c r="BN3" s="8">
        <f t="shared" si="24"/>
        <v>0</v>
      </c>
      <c r="BO3" s="3">
        <f t="shared" ref="BO3:BO12" si="56">$D3+BI3</f>
        <v>189973.66666666669</v>
      </c>
      <c r="BP3" s="7">
        <f t="shared" si="25"/>
        <v>0</v>
      </c>
      <c r="BQ3" s="4">
        <f t="shared" si="26"/>
        <v>0</v>
      </c>
      <c r="BR3" s="3">
        <f t="shared" ref="BR3:BR12" si="57">BL3</f>
        <v>17270.333333333332</v>
      </c>
      <c r="BS3" s="3">
        <f>IF(CN!AS24=0,0,IF(CN!AR24-CN!AS24&lt;=0,0,CN!AR24-CN!AS24))</f>
        <v>0</v>
      </c>
      <c r="BT3" s="8">
        <f t="shared" ref="BT3:BT12" si="58">BS3/BR3</f>
        <v>0</v>
      </c>
      <c r="BU3" s="3">
        <f t="shared" ref="BU3:BU12" si="59">$D3+BO3</f>
        <v>207244.00000000003</v>
      </c>
      <c r="BV3" s="7">
        <f t="shared" si="27"/>
        <v>0</v>
      </c>
      <c r="BW3" s="4">
        <f t="shared" si="28"/>
        <v>0</v>
      </c>
    </row>
    <row r="4" spans="1:75">
      <c r="A4" s="11">
        <v>3</v>
      </c>
      <c r="B4" s="2" t="s">
        <v>333</v>
      </c>
      <c r="C4" s="6">
        <v>82259</v>
      </c>
      <c r="D4" s="50">
        <f t="shared" si="29"/>
        <v>6854.916666666667</v>
      </c>
      <c r="E4" s="3">
        <f>IF(HK!L24=0,0,IF(HK!K24-HK!L24&lt;=0,0,HK!K24-HK!L24))</f>
        <v>0</v>
      </c>
      <c r="F4" s="8">
        <f t="shared" si="0"/>
        <v>0</v>
      </c>
      <c r="G4" s="3">
        <f t="shared" si="30"/>
        <v>6854.916666666667</v>
      </c>
      <c r="H4" s="7">
        <f t="shared" si="31"/>
        <v>0</v>
      </c>
      <c r="I4" s="4">
        <f t="shared" si="32"/>
        <v>0</v>
      </c>
      <c r="J4" s="3">
        <f t="shared" si="33"/>
        <v>6854.916666666667</v>
      </c>
      <c r="K4" s="3">
        <f>IF(HK!O24=0,0,IF(HK!N24-HK!O24&lt;=0,0,HK!N24-HK!O24))</f>
        <v>0</v>
      </c>
      <c r="L4" s="8">
        <f t="shared" si="1"/>
        <v>0</v>
      </c>
      <c r="M4" s="3">
        <f t="shared" si="34"/>
        <v>13709.833333333334</v>
      </c>
      <c r="N4" s="7">
        <f t="shared" si="35"/>
        <v>0</v>
      </c>
      <c r="O4" s="4">
        <f t="shared" si="36"/>
        <v>0</v>
      </c>
      <c r="P4" s="3">
        <f t="shared" si="37"/>
        <v>6854.916666666667</v>
      </c>
      <c r="Q4" s="51">
        <f>IF(HK!R24=0,0,IF(HK!Q24-HK!R24&lt;=0,0,HK!Q24-HK!R24))</f>
        <v>0</v>
      </c>
      <c r="R4" s="8">
        <f t="shared" si="2"/>
        <v>0</v>
      </c>
      <c r="S4" s="3">
        <f t="shared" si="38"/>
        <v>20564.75</v>
      </c>
      <c r="T4" s="7">
        <f t="shared" si="39"/>
        <v>0</v>
      </c>
      <c r="U4" s="4">
        <f t="shared" si="3"/>
        <v>0</v>
      </c>
      <c r="V4" s="3">
        <f t="shared" si="40"/>
        <v>6854.916666666667</v>
      </c>
      <c r="W4" s="3">
        <f>IF(HK!U24=0,0,IF(HK!T24-HK!U24&lt;=0,0,HK!T24-HK!U24))</f>
        <v>0</v>
      </c>
      <c r="X4" s="8">
        <f t="shared" si="4"/>
        <v>0</v>
      </c>
      <c r="Y4" s="3">
        <f t="shared" si="41"/>
        <v>27419.666666666668</v>
      </c>
      <c r="Z4" s="7">
        <f t="shared" si="42"/>
        <v>0</v>
      </c>
      <c r="AA4" s="4">
        <f t="shared" si="5"/>
        <v>0</v>
      </c>
      <c r="AB4" s="3">
        <f t="shared" si="43"/>
        <v>6854.916666666667</v>
      </c>
      <c r="AC4" s="3">
        <f>IF(HK!X24=0,0,IF(HK!W24-HK!X24&lt;=0,0,HK!W24-HK!X24))</f>
        <v>0</v>
      </c>
      <c r="AD4" s="8">
        <f t="shared" si="6"/>
        <v>0</v>
      </c>
      <c r="AE4" s="3">
        <f t="shared" si="44"/>
        <v>34274.583333333336</v>
      </c>
      <c r="AF4" s="7">
        <f t="shared" si="7"/>
        <v>0</v>
      </c>
      <c r="AG4" s="4">
        <f t="shared" si="8"/>
        <v>0</v>
      </c>
      <c r="AH4" s="3">
        <f t="shared" si="45"/>
        <v>6854.916666666667</v>
      </c>
      <c r="AI4" s="3">
        <f>IF(HK!AA24=0,0,IF(HK!Z24-HK!AA24&lt;=0,0,HK!Z24-HK!AA24))</f>
        <v>0</v>
      </c>
      <c r="AJ4" s="8">
        <f t="shared" si="9"/>
        <v>0</v>
      </c>
      <c r="AK4" s="3">
        <f t="shared" si="46"/>
        <v>41129.5</v>
      </c>
      <c r="AL4" s="7">
        <f t="shared" si="10"/>
        <v>0</v>
      </c>
      <c r="AM4" s="4">
        <f t="shared" si="11"/>
        <v>0</v>
      </c>
      <c r="AN4" s="3">
        <f t="shared" si="47"/>
        <v>6854.916666666667</v>
      </c>
      <c r="AO4" s="3">
        <f>IF(HK!AD24=0,0,IF(HK!AC24-HK!AD24&lt;=0,0,HK!AC24-HK!AD24))</f>
        <v>0</v>
      </c>
      <c r="AP4" s="8">
        <f t="shared" si="12"/>
        <v>0</v>
      </c>
      <c r="AQ4" s="3">
        <f t="shared" si="48"/>
        <v>47984.416666666664</v>
      </c>
      <c r="AR4" s="7">
        <f t="shared" si="13"/>
        <v>0</v>
      </c>
      <c r="AS4" s="4">
        <f t="shared" si="14"/>
        <v>0</v>
      </c>
      <c r="AT4" s="3">
        <f t="shared" si="49"/>
        <v>6854.916666666667</v>
      </c>
      <c r="AU4" s="3">
        <f>IF(HK!AG24=0,0,IF(HK!AF24-HK!AG24&lt;=0,0,HK!AF24-HK!AG24))</f>
        <v>0</v>
      </c>
      <c r="AV4" s="8">
        <f t="shared" si="15"/>
        <v>0</v>
      </c>
      <c r="AW4" s="3">
        <f t="shared" si="50"/>
        <v>54839.333333333328</v>
      </c>
      <c r="AX4" s="7">
        <f t="shared" si="16"/>
        <v>0</v>
      </c>
      <c r="AY4" s="4">
        <f t="shared" si="17"/>
        <v>0</v>
      </c>
      <c r="AZ4" s="3">
        <f t="shared" si="51"/>
        <v>6854.916666666667</v>
      </c>
      <c r="BA4" s="3">
        <f>IF(HK!AJ24=0,0,IF(HK!AI24-HK!AJ24&lt;=0,0,HK!AI24-HK!AJ24))</f>
        <v>0</v>
      </c>
      <c r="BB4" s="8">
        <f t="shared" si="18"/>
        <v>0</v>
      </c>
      <c r="BC4" s="3">
        <f t="shared" si="52"/>
        <v>61694.249999999993</v>
      </c>
      <c r="BD4" s="7">
        <f t="shared" si="19"/>
        <v>0</v>
      </c>
      <c r="BE4" s="4">
        <f t="shared" si="20"/>
        <v>0</v>
      </c>
      <c r="BF4" s="3">
        <f t="shared" si="53"/>
        <v>6854.916666666667</v>
      </c>
      <c r="BG4" s="3">
        <f>IF(HK!AM24=0,0,IF(HK!AL24-HK!AM24&lt;=0,0,HK!AL24-HK!AM24))</f>
        <v>0</v>
      </c>
      <c r="BH4" s="8">
        <f t="shared" si="21"/>
        <v>0</v>
      </c>
      <c r="BI4" s="3">
        <f t="shared" si="54"/>
        <v>68549.166666666657</v>
      </c>
      <c r="BJ4" s="7">
        <f t="shared" si="22"/>
        <v>0</v>
      </c>
      <c r="BK4" s="4">
        <f t="shared" si="23"/>
        <v>0</v>
      </c>
      <c r="BL4" s="3">
        <f t="shared" si="55"/>
        <v>6854.916666666667</v>
      </c>
      <c r="BM4" s="3">
        <f>IF(HK!AP24=0,0,IF(HK!AO24-HK!AP24&lt;=0,0,HK!AO24-HK!AP24))</f>
        <v>0</v>
      </c>
      <c r="BN4" s="8">
        <f t="shared" si="24"/>
        <v>0</v>
      </c>
      <c r="BO4" s="3">
        <f t="shared" si="56"/>
        <v>75404.083333333328</v>
      </c>
      <c r="BP4" s="7">
        <f t="shared" si="25"/>
        <v>0</v>
      </c>
      <c r="BQ4" s="4">
        <f t="shared" si="26"/>
        <v>0</v>
      </c>
      <c r="BR4" s="3">
        <f t="shared" si="57"/>
        <v>6854.916666666667</v>
      </c>
      <c r="BS4" s="3">
        <f>IF(HK!AS24=0,0,IF(HK!AR24-HK!AS24&lt;=0,0,HK!AR24-HK!AS24))</f>
        <v>0</v>
      </c>
      <c r="BT4" s="8">
        <f t="shared" si="58"/>
        <v>0</v>
      </c>
      <c r="BU4" s="3">
        <f t="shared" si="59"/>
        <v>82259</v>
      </c>
      <c r="BV4" s="7">
        <f t="shared" si="27"/>
        <v>0</v>
      </c>
      <c r="BW4" s="4">
        <f t="shared" si="28"/>
        <v>0</v>
      </c>
    </row>
    <row r="5" spans="1:75">
      <c r="A5" s="11">
        <v>4</v>
      </c>
      <c r="B5" s="2" t="s">
        <v>334</v>
      </c>
      <c r="C5" s="6">
        <v>292438</v>
      </c>
      <c r="D5" s="50">
        <f t="shared" si="29"/>
        <v>24369.833333333332</v>
      </c>
      <c r="E5" s="3">
        <f>IF(JP!L24=0,0,IF(JP!K24-JP!L24&lt;=0,0,JP!K24-JP!L24))</f>
        <v>0</v>
      </c>
      <c r="F5" s="8">
        <f t="shared" si="0"/>
        <v>0</v>
      </c>
      <c r="G5" s="3">
        <f t="shared" si="30"/>
        <v>24369.833333333332</v>
      </c>
      <c r="H5" s="7">
        <f t="shared" si="31"/>
        <v>0</v>
      </c>
      <c r="I5" s="4">
        <f t="shared" si="32"/>
        <v>0</v>
      </c>
      <c r="J5" s="3">
        <f t="shared" si="33"/>
        <v>24369.833333333332</v>
      </c>
      <c r="K5" s="3">
        <f>IF(JP!O24=0,0,IF(JP!N24-JP!O24&lt;=0,0,JP!N24-JP!O24))</f>
        <v>0</v>
      </c>
      <c r="L5" s="8">
        <f t="shared" si="1"/>
        <v>0</v>
      </c>
      <c r="M5" s="3">
        <f t="shared" si="34"/>
        <v>48739.666666666664</v>
      </c>
      <c r="N5" s="7">
        <f t="shared" si="35"/>
        <v>0</v>
      </c>
      <c r="O5" s="4">
        <f t="shared" si="36"/>
        <v>0</v>
      </c>
      <c r="P5" s="3">
        <f t="shared" si="37"/>
        <v>24369.833333333332</v>
      </c>
      <c r="Q5" s="51">
        <f>IF(JP!R24=0,0,IF(JP!Q24-JP!R24&lt;=0,0,JP!Q24-JP!R24))</f>
        <v>0</v>
      </c>
      <c r="R5" s="8">
        <f t="shared" si="2"/>
        <v>0</v>
      </c>
      <c r="S5" s="3">
        <f t="shared" si="38"/>
        <v>73109.5</v>
      </c>
      <c r="T5" s="7">
        <f t="shared" si="39"/>
        <v>0</v>
      </c>
      <c r="U5" s="4">
        <f t="shared" si="3"/>
        <v>0</v>
      </c>
      <c r="V5" s="3">
        <f t="shared" si="40"/>
        <v>24369.833333333332</v>
      </c>
      <c r="W5" s="3">
        <f>IF(JP!U24=0,0,IF(JP!T24-JP!U24&lt;=0,0,JP!T24-JP!U24))</f>
        <v>0</v>
      </c>
      <c r="X5" s="8">
        <f t="shared" si="4"/>
        <v>0</v>
      </c>
      <c r="Y5" s="3">
        <f t="shared" si="41"/>
        <v>97479.333333333328</v>
      </c>
      <c r="Z5" s="7">
        <f t="shared" si="42"/>
        <v>0</v>
      </c>
      <c r="AA5" s="4">
        <f t="shared" si="5"/>
        <v>0</v>
      </c>
      <c r="AB5" s="3">
        <f t="shared" si="43"/>
        <v>24369.833333333332</v>
      </c>
      <c r="AC5" s="3">
        <f>IF(JP!X24=0,0,IF(JP!W24-JP!X24&lt;=0,0,JP!W24-JP!X24))</f>
        <v>0</v>
      </c>
      <c r="AD5" s="8">
        <f t="shared" si="6"/>
        <v>0</v>
      </c>
      <c r="AE5" s="3">
        <f t="shared" si="44"/>
        <v>121849.16666666666</v>
      </c>
      <c r="AF5" s="7">
        <f t="shared" si="7"/>
        <v>0</v>
      </c>
      <c r="AG5" s="4">
        <f t="shared" si="8"/>
        <v>0</v>
      </c>
      <c r="AH5" s="3">
        <f t="shared" si="45"/>
        <v>24369.833333333332</v>
      </c>
      <c r="AI5" s="3">
        <f>IF(JP!AA24=0,0,IF(JP!Z24-JP!AA24&lt;=0,0,JP!Z24-JP!AA24))</f>
        <v>0</v>
      </c>
      <c r="AJ5" s="8">
        <f t="shared" si="9"/>
        <v>0</v>
      </c>
      <c r="AK5" s="3">
        <f t="shared" si="46"/>
        <v>146219</v>
      </c>
      <c r="AL5" s="7">
        <f t="shared" si="10"/>
        <v>0</v>
      </c>
      <c r="AM5" s="4">
        <f t="shared" si="11"/>
        <v>0</v>
      </c>
      <c r="AN5" s="3">
        <f t="shared" si="47"/>
        <v>24369.833333333332</v>
      </c>
      <c r="AO5" s="3">
        <f>IF(JP!AD24=0,0,IF(JP!AC24-JP!AD24&lt;=0,0,JP!AC24-JP!AD24))</f>
        <v>0</v>
      </c>
      <c r="AP5" s="8">
        <f t="shared" si="12"/>
        <v>0</v>
      </c>
      <c r="AQ5" s="3">
        <f t="shared" si="48"/>
        <v>170588.83333333334</v>
      </c>
      <c r="AR5" s="7">
        <f t="shared" si="13"/>
        <v>0</v>
      </c>
      <c r="AS5" s="4">
        <f t="shared" si="14"/>
        <v>0</v>
      </c>
      <c r="AT5" s="3">
        <f t="shared" si="49"/>
        <v>24369.833333333332</v>
      </c>
      <c r="AU5" s="3">
        <f>IF(JP!AG24=0,0,IF(JP!AF24-JP!AG24&lt;=0,0,JP!AF24-JP!AG24))</f>
        <v>0</v>
      </c>
      <c r="AV5" s="8">
        <f t="shared" si="15"/>
        <v>0</v>
      </c>
      <c r="AW5" s="3">
        <f t="shared" si="50"/>
        <v>194958.66666666669</v>
      </c>
      <c r="AX5" s="7">
        <f t="shared" si="16"/>
        <v>0</v>
      </c>
      <c r="AY5" s="4">
        <f t="shared" si="17"/>
        <v>0</v>
      </c>
      <c r="AZ5" s="3">
        <f t="shared" si="51"/>
        <v>24369.833333333332</v>
      </c>
      <c r="BA5" s="3">
        <f>IF(JP!AJ24=0,0,IF(JP!AI24-JP!AJ24&lt;=0,0,JP!AI24-JP!AJ24))</f>
        <v>0</v>
      </c>
      <c r="BB5" s="8">
        <f t="shared" si="18"/>
        <v>0</v>
      </c>
      <c r="BC5" s="3">
        <f t="shared" si="52"/>
        <v>219328.50000000003</v>
      </c>
      <c r="BD5" s="7">
        <f t="shared" si="19"/>
        <v>0</v>
      </c>
      <c r="BE5" s="4">
        <f t="shared" si="20"/>
        <v>0</v>
      </c>
      <c r="BF5" s="3">
        <f t="shared" si="53"/>
        <v>24369.833333333332</v>
      </c>
      <c r="BG5" s="3">
        <f>IF(JP!AM24=0,0,IF(JP!AL24-JP!AM24&lt;=0,0,JP!AL24-JP!AM24))</f>
        <v>0</v>
      </c>
      <c r="BH5" s="8">
        <f t="shared" si="21"/>
        <v>0</v>
      </c>
      <c r="BI5" s="3">
        <f t="shared" si="54"/>
        <v>243698.33333333337</v>
      </c>
      <c r="BJ5" s="7">
        <f t="shared" si="22"/>
        <v>0</v>
      </c>
      <c r="BK5" s="4">
        <f t="shared" si="23"/>
        <v>0</v>
      </c>
      <c r="BL5" s="3">
        <f t="shared" si="55"/>
        <v>24369.833333333332</v>
      </c>
      <c r="BM5" s="3">
        <f>IF(JP!AP24=0,0,IF(JP!AO24-JP!AP24&lt;=0,0,JP!AO24-JP!AP24))</f>
        <v>0</v>
      </c>
      <c r="BN5" s="8">
        <f t="shared" si="24"/>
        <v>0</v>
      </c>
      <c r="BO5" s="3">
        <f t="shared" si="56"/>
        <v>268068.16666666669</v>
      </c>
      <c r="BP5" s="7">
        <f t="shared" si="25"/>
        <v>0</v>
      </c>
      <c r="BQ5" s="4">
        <f t="shared" si="26"/>
        <v>0</v>
      </c>
      <c r="BR5" s="3">
        <f t="shared" si="57"/>
        <v>24369.833333333332</v>
      </c>
      <c r="BS5" s="3">
        <f>IF(JP!AS24=0,0,IF(JP!AR24-JP!AS24&lt;=0,0,JP!AR24-JP!AS24))</f>
        <v>0</v>
      </c>
      <c r="BT5" s="8">
        <f t="shared" si="58"/>
        <v>0</v>
      </c>
      <c r="BU5" s="3">
        <f t="shared" si="59"/>
        <v>292438</v>
      </c>
      <c r="BV5" s="7">
        <f t="shared" si="27"/>
        <v>0</v>
      </c>
      <c r="BW5" s="4">
        <f t="shared" si="28"/>
        <v>0</v>
      </c>
    </row>
    <row r="6" spans="1:75">
      <c r="A6" s="11">
        <v>5</v>
      </c>
      <c r="B6" s="2" t="s">
        <v>335</v>
      </c>
      <c r="C6" s="6">
        <v>87695</v>
      </c>
      <c r="D6" s="50">
        <f t="shared" si="29"/>
        <v>7307.916666666667</v>
      </c>
      <c r="E6" s="3">
        <f>IF(KR!L24=0,0,IF(KR!K24-KR!L24&lt;=0,0,KR!K24-KR!L24))</f>
        <v>0</v>
      </c>
      <c r="F6" s="8">
        <f t="shared" si="0"/>
        <v>0</v>
      </c>
      <c r="G6" s="3">
        <f t="shared" si="30"/>
        <v>7307.916666666667</v>
      </c>
      <c r="H6" s="7">
        <f t="shared" si="31"/>
        <v>0</v>
      </c>
      <c r="I6" s="4">
        <f t="shared" si="32"/>
        <v>0</v>
      </c>
      <c r="J6" s="3">
        <f t="shared" si="33"/>
        <v>7307.916666666667</v>
      </c>
      <c r="K6" s="3">
        <f>IF(KR!O24=0,0,IF(KR!N24-KR!O24&lt;=0,0,KR!N24-KR!O24))</f>
        <v>0</v>
      </c>
      <c r="L6" s="8">
        <f t="shared" si="1"/>
        <v>0</v>
      </c>
      <c r="M6" s="3">
        <f t="shared" si="34"/>
        <v>14615.833333333334</v>
      </c>
      <c r="N6" s="7">
        <f t="shared" si="35"/>
        <v>0</v>
      </c>
      <c r="O6" s="4">
        <f t="shared" si="36"/>
        <v>0</v>
      </c>
      <c r="P6" s="3">
        <f t="shared" si="37"/>
        <v>7307.916666666667</v>
      </c>
      <c r="Q6" s="51">
        <f>IF(KR!R24=0,0,IF(KR!Q24-KR!R24&lt;=0,0,KR!Q24-KR!R24))</f>
        <v>0</v>
      </c>
      <c r="R6" s="8">
        <f t="shared" si="2"/>
        <v>0</v>
      </c>
      <c r="S6" s="3">
        <f t="shared" si="38"/>
        <v>21923.75</v>
      </c>
      <c r="T6" s="7">
        <f t="shared" si="39"/>
        <v>0</v>
      </c>
      <c r="U6" s="4">
        <f t="shared" si="3"/>
        <v>0</v>
      </c>
      <c r="V6" s="3">
        <f t="shared" si="40"/>
        <v>7307.916666666667</v>
      </c>
      <c r="W6" s="3">
        <f>IF(KR!U24=0,0,IF(KR!T24-KR!U24&lt;=0,0,KR!T24-KR!U24))</f>
        <v>0</v>
      </c>
      <c r="X6" s="8">
        <f t="shared" si="4"/>
        <v>0</v>
      </c>
      <c r="Y6" s="3">
        <f t="shared" si="41"/>
        <v>29231.666666666668</v>
      </c>
      <c r="Z6" s="7">
        <f t="shared" si="42"/>
        <v>0</v>
      </c>
      <c r="AA6" s="4">
        <f t="shared" si="5"/>
        <v>0</v>
      </c>
      <c r="AB6" s="3">
        <f t="shared" si="43"/>
        <v>7307.916666666667</v>
      </c>
      <c r="AC6" s="3">
        <f>IF(KR!X24=0,0,IF(KR!W24-KR!X24&lt;=0,0,KR!W24-KR!X24))</f>
        <v>0</v>
      </c>
      <c r="AD6" s="8">
        <f t="shared" si="6"/>
        <v>0</v>
      </c>
      <c r="AE6" s="3">
        <f t="shared" si="44"/>
        <v>36539.583333333336</v>
      </c>
      <c r="AF6" s="7">
        <f t="shared" si="7"/>
        <v>0</v>
      </c>
      <c r="AG6" s="4">
        <f t="shared" si="8"/>
        <v>0</v>
      </c>
      <c r="AH6" s="3">
        <f t="shared" si="45"/>
        <v>7307.916666666667</v>
      </c>
      <c r="AI6" s="3">
        <f>IF(KR!AA24=0,0,IF(KR!Z24-KR!AA24&lt;=0,0,KR!Z24-KR!AA24))</f>
        <v>0</v>
      </c>
      <c r="AJ6" s="8">
        <f t="shared" si="9"/>
        <v>0</v>
      </c>
      <c r="AK6" s="3">
        <f t="shared" si="46"/>
        <v>43847.5</v>
      </c>
      <c r="AL6" s="7">
        <f t="shared" si="10"/>
        <v>0</v>
      </c>
      <c r="AM6" s="4">
        <f t="shared" si="11"/>
        <v>0</v>
      </c>
      <c r="AN6" s="3">
        <f t="shared" si="47"/>
        <v>7307.916666666667</v>
      </c>
      <c r="AO6" s="3">
        <f>IF(KR!AD24=0,0,IF(KR!AC24-KR!AD24&lt;=0,0,KR!AC24-KR!AD24))</f>
        <v>0</v>
      </c>
      <c r="AP6" s="8">
        <f t="shared" si="12"/>
        <v>0</v>
      </c>
      <c r="AQ6" s="3">
        <f t="shared" si="48"/>
        <v>51155.416666666664</v>
      </c>
      <c r="AR6" s="7">
        <f t="shared" si="13"/>
        <v>0</v>
      </c>
      <c r="AS6" s="4">
        <f t="shared" si="14"/>
        <v>0</v>
      </c>
      <c r="AT6" s="3">
        <f t="shared" si="49"/>
        <v>7307.916666666667</v>
      </c>
      <c r="AU6" s="3">
        <f>IF(KR!AG24=0,0,IF(KR!AF24-KR!AG24&lt;=0,0,KR!AF24-KR!AG24))</f>
        <v>0</v>
      </c>
      <c r="AV6" s="8">
        <f t="shared" si="15"/>
        <v>0</v>
      </c>
      <c r="AW6" s="3">
        <f t="shared" si="50"/>
        <v>58463.333333333328</v>
      </c>
      <c r="AX6" s="7">
        <f t="shared" si="16"/>
        <v>0</v>
      </c>
      <c r="AY6" s="4">
        <f t="shared" si="17"/>
        <v>0</v>
      </c>
      <c r="AZ6" s="3">
        <f t="shared" si="51"/>
        <v>7307.916666666667</v>
      </c>
      <c r="BA6" s="3">
        <f>IF(KR!AJ24=0,0,IF(KR!AI24-KR!AJ24&lt;=0,0,KR!AI24-KR!AJ24))</f>
        <v>0</v>
      </c>
      <c r="BB6" s="8">
        <f t="shared" si="18"/>
        <v>0</v>
      </c>
      <c r="BC6" s="3">
        <f t="shared" si="52"/>
        <v>65771.25</v>
      </c>
      <c r="BD6" s="7">
        <f t="shared" si="19"/>
        <v>0</v>
      </c>
      <c r="BE6" s="4">
        <f t="shared" si="20"/>
        <v>0</v>
      </c>
      <c r="BF6" s="3">
        <f t="shared" si="53"/>
        <v>7307.916666666667</v>
      </c>
      <c r="BG6" s="3">
        <f>IF(KR!AM24=0,0,IF(KR!AL24-KR!AM24&lt;=0,0,KR!AL24-KR!AM24))</f>
        <v>0</v>
      </c>
      <c r="BH6" s="8">
        <f t="shared" si="21"/>
        <v>0</v>
      </c>
      <c r="BI6" s="3">
        <f t="shared" si="54"/>
        <v>73079.166666666672</v>
      </c>
      <c r="BJ6" s="7">
        <f t="shared" si="22"/>
        <v>0</v>
      </c>
      <c r="BK6" s="4">
        <f t="shared" si="23"/>
        <v>0</v>
      </c>
      <c r="BL6" s="3">
        <f t="shared" si="55"/>
        <v>7307.916666666667</v>
      </c>
      <c r="BM6" s="3">
        <f>IF(KR!AP24=0,0,IF(KR!AO24-KR!AP24&lt;=0,0,KR!AO24-KR!AP24))</f>
        <v>0</v>
      </c>
      <c r="BN6" s="8">
        <f t="shared" si="24"/>
        <v>0</v>
      </c>
      <c r="BO6" s="3">
        <f t="shared" si="56"/>
        <v>80387.083333333343</v>
      </c>
      <c r="BP6" s="7">
        <f t="shared" si="25"/>
        <v>0</v>
      </c>
      <c r="BQ6" s="4">
        <f t="shared" si="26"/>
        <v>0</v>
      </c>
      <c r="BR6" s="3">
        <f t="shared" si="57"/>
        <v>7307.916666666667</v>
      </c>
      <c r="BS6" s="3">
        <f>IF(KR!AS24=0,0,IF(KR!AR24-KR!AS24&lt;=0,0,KR!AR24-KR!AS24))</f>
        <v>0</v>
      </c>
      <c r="BT6" s="8">
        <f t="shared" si="58"/>
        <v>0</v>
      </c>
      <c r="BU6" s="3">
        <f t="shared" si="59"/>
        <v>87695.000000000015</v>
      </c>
      <c r="BV6" s="7">
        <f t="shared" si="27"/>
        <v>0</v>
      </c>
      <c r="BW6" s="4">
        <f t="shared" si="28"/>
        <v>0</v>
      </c>
    </row>
    <row r="7" spans="1:75">
      <c r="A7" s="11">
        <v>6</v>
      </c>
      <c r="B7" s="2" t="s">
        <v>336</v>
      </c>
      <c r="C7" s="6">
        <v>16554</v>
      </c>
      <c r="D7" s="50">
        <f t="shared" si="29"/>
        <v>1379.5</v>
      </c>
      <c r="E7" s="3">
        <f>IF(MY!L24=0,0,IF(MY!K24-MY!L24&lt;=0,0,MY!K24-MY!L24))</f>
        <v>0</v>
      </c>
      <c r="F7" s="8">
        <f t="shared" si="0"/>
        <v>0</v>
      </c>
      <c r="G7" s="3">
        <f t="shared" si="30"/>
        <v>1379.5</v>
      </c>
      <c r="H7" s="7">
        <f t="shared" si="31"/>
        <v>0</v>
      </c>
      <c r="I7" s="4">
        <f t="shared" si="32"/>
        <v>0</v>
      </c>
      <c r="J7" s="3">
        <f t="shared" si="33"/>
        <v>1379.5</v>
      </c>
      <c r="K7" s="3">
        <f>IF(MY!O24=0,0,IF(MY!N24-MY!O24&lt;=0,0,MY!N24-MY!O24))</f>
        <v>0</v>
      </c>
      <c r="L7" s="8">
        <f t="shared" si="1"/>
        <v>0</v>
      </c>
      <c r="M7" s="3">
        <f t="shared" si="34"/>
        <v>2759</v>
      </c>
      <c r="N7" s="7">
        <f t="shared" si="35"/>
        <v>0</v>
      </c>
      <c r="O7" s="4">
        <f t="shared" si="36"/>
        <v>0</v>
      </c>
      <c r="P7" s="3">
        <f t="shared" si="37"/>
        <v>1379.5</v>
      </c>
      <c r="Q7" s="51">
        <f>IF(MY!R24=0,0,IF(MY!Q24-MY!R24&lt;=0,0,MY!Q24-MY!R24))</f>
        <v>0</v>
      </c>
      <c r="R7" s="8">
        <f t="shared" si="2"/>
        <v>0</v>
      </c>
      <c r="S7" s="3">
        <f t="shared" si="38"/>
        <v>4138.5</v>
      </c>
      <c r="T7" s="7">
        <f t="shared" si="39"/>
        <v>0</v>
      </c>
      <c r="U7" s="4">
        <f t="shared" si="3"/>
        <v>0</v>
      </c>
      <c r="V7" s="3">
        <f t="shared" si="40"/>
        <v>1379.5</v>
      </c>
      <c r="W7" s="3">
        <f>IF(MY!U24=0,0,IF(MY!T24-MY!U24&lt;=0,0,MY!T24-MY!U24))</f>
        <v>0</v>
      </c>
      <c r="X7" s="8">
        <f t="shared" si="4"/>
        <v>0</v>
      </c>
      <c r="Y7" s="3">
        <f t="shared" si="41"/>
        <v>5518</v>
      </c>
      <c r="Z7" s="7">
        <f t="shared" si="42"/>
        <v>0</v>
      </c>
      <c r="AA7" s="4">
        <f t="shared" si="5"/>
        <v>0</v>
      </c>
      <c r="AB7" s="3">
        <f t="shared" si="43"/>
        <v>1379.5</v>
      </c>
      <c r="AC7" s="3">
        <f>IF(MY!X24=0,0,IF(MY!W24-MY!X24&lt;=0,0,MY!W24-MY!X24))</f>
        <v>0</v>
      </c>
      <c r="AD7" s="8">
        <f t="shared" si="6"/>
        <v>0</v>
      </c>
      <c r="AE7" s="3">
        <f t="shared" si="44"/>
        <v>6897.5</v>
      </c>
      <c r="AF7" s="7">
        <f t="shared" si="7"/>
        <v>0</v>
      </c>
      <c r="AG7" s="4">
        <f t="shared" si="8"/>
        <v>0</v>
      </c>
      <c r="AH7" s="3">
        <f t="shared" si="45"/>
        <v>1379.5</v>
      </c>
      <c r="AI7" s="3">
        <f>IF(MY!AA24=0,0,IF(MY!Z24-MY!AA24&lt;=0,0,MY!Z24-MY!AA24))</f>
        <v>0</v>
      </c>
      <c r="AJ7" s="8">
        <f t="shared" si="9"/>
        <v>0</v>
      </c>
      <c r="AK7" s="3">
        <f t="shared" si="46"/>
        <v>8277</v>
      </c>
      <c r="AL7" s="7">
        <f t="shared" si="10"/>
        <v>0</v>
      </c>
      <c r="AM7" s="4">
        <f t="shared" si="11"/>
        <v>0</v>
      </c>
      <c r="AN7" s="3">
        <f t="shared" si="47"/>
        <v>1379.5</v>
      </c>
      <c r="AO7" s="3">
        <f>IF(MY!AD24=0,0,IF(MY!AC24-MY!AD24&lt;=0,0,MY!AC24-MY!AD24))</f>
        <v>0</v>
      </c>
      <c r="AP7" s="8">
        <f t="shared" si="12"/>
        <v>0</v>
      </c>
      <c r="AQ7" s="3">
        <f t="shared" si="48"/>
        <v>9656.5</v>
      </c>
      <c r="AR7" s="7">
        <f t="shared" si="13"/>
        <v>0</v>
      </c>
      <c r="AS7" s="4">
        <f t="shared" si="14"/>
        <v>0</v>
      </c>
      <c r="AT7" s="3">
        <f t="shared" si="49"/>
        <v>1379.5</v>
      </c>
      <c r="AU7" s="3">
        <f>IF(MY!AG24=0,0,IF(MY!AF24-MY!AG24&lt;=0,0,MY!AF24-MY!AG24))</f>
        <v>0</v>
      </c>
      <c r="AV7" s="8">
        <f t="shared" si="15"/>
        <v>0</v>
      </c>
      <c r="AW7" s="3">
        <f t="shared" si="50"/>
        <v>11036</v>
      </c>
      <c r="AX7" s="7">
        <f t="shared" si="16"/>
        <v>0</v>
      </c>
      <c r="AY7" s="4">
        <f t="shared" si="17"/>
        <v>0</v>
      </c>
      <c r="AZ7" s="3">
        <f t="shared" si="51"/>
        <v>1379.5</v>
      </c>
      <c r="BA7" s="3">
        <f>IF(MY!AJ24=0,0,IF(MY!AI24-MY!AJ24&lt;=0,0,MY!AI24-MY!AJ24))</f>
        <v>0</v>
      </c>
      <c r="BB7" s="8">
        <f t="shared" si="18"/>
        <v>0</v>
      </c>
      <c r="BC7" s="3">
        <f t="shared" si="52"/>
        <v>12415.5</v>
      </c>
      <c r="BD7" s="7">
        <f t="shared" si="19"/>
        <v>0</v>
      </c>
      <c r="BE7" s="4">
        <f t="shared" si="20"/>
        <v>0</v>
      </c>
      <c r="BF7" s="3">
        <f t="shared" si="53"/>
        <v>1379.5</v>
      </c>
      <c r="BG7" s="3">
        <f>IF(MY!AM24=0,0,IF(MY!AL24-MY!AM24&lt;=0,0,MY!AL24-MY!AM24))</f>
        <v>0</v>
      </c>
      <c r="BH7" s="8">
        <f t="shared" si="21"/>
        <v>0</v>
      </c>
      <c r="BI7" s="3">
        <f t="shared" si="54"/>
        <v>13795</v>
      </c>
      <c r="BJ7" s="7">
        <f t="shared" si="22"/>
        <v>0</v>
      </c>
      <c r="BK7" s="4">
        <f t="shared" si="23"/>
        <v>0</v>
      </c>
      <c r="BL7" s="3">
        <f t="shared" si="55"/>
        <v>1379.5</v>
      </c>
      <c r="BM7" s="3">
        <f>IF(MY!AP24=0,0,IF(MY!AO24-MY!AP24&lt;=0,0,MY!AO24-MY!AP24))</f>
        <v>0</v>
      </c>
      <c r="BN7" s="8">
        <f t="shared" si="24"/>
        <v>0</v>
      </c>
      <c r="BO7" s="3">
        <f t="shared" si="56"/>
        <v>15174.5</v>
      </c>
      <c r="BP7" s="7">
        <f t="shared" si="25"/>
        <v>0</v>
      </c>
      <c r="BQ7" s="4">
        <f t="shared" si="26"/>
        <v>0</v>
      </c>
      <c r="BR7" s="3">
        <f t="shared" si="57"/>
        <v>1379.5</v>
      </c>
      <c r="BS7" s="3">
        <f>IF(MY!AS24=0,0,IF(MY!AR24-MY!AS24&lt;=0,0,MY!AR24-MY!AS24))</f>
        <v>0</v>
      </c>
      <c r="BT7" s="8">
        <f t="shared" si="58"/>
        <v>0</v>
      </c>
      <c r="BU7" s="3">
        <f t="shared" si="59"/>
        <v>16554</v>
      </c>
      <c r="BV7" s="7">
        <f t="shared" si="27"/>
        <v>0</v>
      </c>
      <c r="BW7" s="4">
        <f t="shared" si="28"/>
        <v>0</v>
      </c>
    </row>
    <row r="8" spans="1:75">
      <c r="A8" s="11">
        <v>7</v>
      </c>
      <c r="B8" s="2" t="s">
        <v>337</v>
      </c>
      <c r="C8" s="6">
        <v>16612</v>
      </c>
      <c r="D8" s="50">
        <f t="shared" si="29"/>
        <v>1384.3333333333333</v>
      </c>
      <c r="E8" s="3">
        <f>IF(PH!L24=0,0,IF(PH!K24-PH!L24&lt;=0,0,PH!K24-PH!L24))</f>
        <v>0</v>
      </c>
      <c r="F8" s="8">
        <f t="shared" si="0"/>
        <v>0</v>
      </c>
      <c r="G8" s="3">
        <f t="shared" si="30"/>
        <v>1384.3333333333333</v>
      </c>
      <c r="H8" s="7">
        <f t="shared" si="31"/>
        <v>0</v>
      </c>
      <c r="I8" s="4">
        <f t="shared" si="32"/>
        <v>0</v>
      </c>
      <c r="J8" s="3">
        <f t="shared" si="33"/>
        <v>1384.3333333333333</v>
      </c>
      <c r="K8" s="3">
        <f>IF(PH!O24=0,0,IF(PH!N24-PH!O24&lt;=0,0,PH!N24-PH!O24))</f>
        <v>0</v>
      </c>
      <c r="L8" s="8">
        <f t="shared" si="1"/>
        <v>0</v>
      </c>
      <c r="M8" s="3">
        <f t="shared" si="34"/>
        <v>2768.6666666666665</v>
      </c>
      <c r="N8" s="7">
        <f t="shared" si="35"/>
        <v>0</v>
      </c>
      <c r="O8" s="4">
        <f t="shared" si="36"/>
        <v>0</v>
      </c>
      <c r="P8" s="3">
        <f t="shared" si="37"/>
        <v>1384.3333333333333</v>
      </c>
      <c r="Q8" s="51">
        <f>IF(PH!R24=0,0,IF(PH!Q24-PH!R24&lt;=0,0,PH!Q24-PH!R24))</f>
        <v>0</v>
      </c>
      <c r="R8" s="8">
        <f t="shared" si="2"/>
        <v>0</v>
      </c>
      <c r="S8" s="3">
        <f t="shared" si="38"/>
        <v>4153</v>
      </c>
      <c r="T8" s="7">
        <f t="shared" si="39"/>
        <v>0</v>
      </c>
      <c r="U8" s="4">
        <f t="shared" si="3"/>
        <v>0</v>
      </c>
      <c r="V8" s="3">
        <f t="shared" si="40"/>
        <v>1384.3333333333333</v>
      </c>
      <c r="W8" s="3">
        <f>IF(PH!U24=0,0,IF(PH!T24-PH!U24&lt;=0,0,PH!T24-PH!U24))</f>
        <v>0</v>
      </c>
      <c r="X8" s="8">
        <f t="shared" si="4"/>
        <v>0</v>
      </c>
      <c r="Y8" s="3">
        <f t="shared" si="41"/>
        <v>5537.333333333333</v>
      </c>
      <c r="Z8" s="7">
        <f t="shared" si="42"/>
        <v>0</v>
      </c>
      <c r="AA8" s="4">
        <f t="shared" si="5"/>
        <v>0</v>
      </c>
      <c r="AB8" s="3">
        <f t="shared" si="43"/>
        <v>1384.3333333333333</v>
      </c>
      <c r="AC8" s="3">
        <f>IF(PH!X24=0,0,IF(PH!W24-PH!X24&lt;=0,0,PH!W24-PH!X24))</f>
        <v>0</v>
      </c>
      <c r="AD8" s="8">
        <f t="shared" si="6"/>
        <v>0</v>
      </c>
      <c r="AE8" s="3">
        <f t="shared" si="44"/>
        <v>6921.6666666666661</v>
      </c>
      <c r="AF8" s="7">
        <f t="shared" si="7"/>
        <v>0</v>
      </c>
      <c r="AG8" s="4">
        <f t="shared" si="8"/>
        <v>0</v>
      </c>
      <c r="AH8" s="3">
        <f t="shared" si="45"/>
        <v>1384.3333333333333</v>
      </c>
      <c r="AI8" s="3">
        <f>IF(PH!AA24=0,0,IF(PH!Z24-PH!AA24&lt;=0,0,PH!Z24-PH!AA24))</f>
        <v>0</v>
      </c>
      <c r="AJ8" s="8">
        <f t="shared" si="9"/>
        <v>0</v>
      </c>
      <c r="AK8" s="3">
        <f t="shared" si="46"/>
        <v>8306</v>
      </c>
      <c r="AL8" s="7">
        <f t="shared" si="10"/>
        <v>0</v>
      </c>
      <c r="AM8" s="4">
        <f t="shared" si="11"/>
        <v>0</v>
      </c>
      <c r="AN8" s="3">
        <f t="shared" si="47"/>
        <v>1384.3333333333333</v>
      </c>
      <c r="AO8" s="3">
        <f>IF(PH!AD24=0,0,IF(PH!AC24-PH!AD24&lt;=0,0,PH!AC24-PH!AD24))</f>
        <v>0</v>
      </c>
      <c r="AP8" s="8">
        <f t="shared" si="12"/>
        <v>0</v>
      </c>
      <c r="AQ8" s="3">
        <f t="shared" si="48"/>
        <v>9690.3333333333339</v>
      </c>
      <c r="AR8" s="7">
        <f t="shared" si="13"/>
        <v>0</v>
      </c>
      <c r="AS8" s="4">
        <f t="shared" si="14"/>
        <v>0</v>
      </c>
      <c r="AT8" s="3">
        <f t="shared" si="49"/>
        <v>1384.3333333333333</v>
      </c>
      <c r="AU8" s="3">
        <f>IF(PH!AG24=0,0,IF(PH!AF24-PH!AG24&lt;=0,0,PH!AF24-PH!AG24))</f>
        <v>0</v>
      </c>
      <c r="AV8" s="8">
        <f t="shared" si="15"/>
        <v>0</v>
      </c>
      <c r="AW8" s="3">
        <f t="shared" si="50"/>
        <v>11074.666666666668</v>
      </c>
      <c r="AX8" s="7">
        <f t="shared" si="16"/>
        <v>0</v>
      </c>
      <c r="AY8" s="4">
        <f t="shared" si="17"/>
        <v>0</v>
      </c>
      <c r="AZ8" s="3">
        <f t="shared" si="51"/>
        <v>1384.3333333333333</v>
      </c>
      <c r="BA8" s="3">
        <f>IF(PH!AJ24=0,0,IF(PH!AI24-PH!AJ24&lt;=0,0,PH!AI24-PH!AJ24))</f>
        <v>0</v>
      </c>
      <c r="BB8" s="8">
        <f t="shared" si="18"/>
        <v>0</v>
      </c>
      <c r="BC8" s="3">
        <f t="shared" si="52"/>
        <v>12459.000000000002</v>
      </c>
      <c r="BD8" s="7">
        <f t="shared" si="19"/>
        <v>0</v>
      </c>
      <c r="BE8" s="4">
        <f t="shared" si="20"/>
        <v>0</v>
      </c>
      <c r="BF8" s="3">
        <f t="shared" si="53"/>
        <v>1384.3333333333333</v>
      </c>
      <c r="BG8" s="3">
        <f>IF(PH!AM24=0,0,IF(PH!AL24-PH!AM24&lt;=0,0,PH!AL24-PH!AM24))</f>
        <v>0</v>
      </c>
      <c r="BH8" s="8">
        <f t="shared" si="21"/>
        <v>0</v>
      </c>
      <c r="BI8" s="3">
        <f t="shared" si="54"/>
        <v>13843.333333333336</v>
      </c>
      <c r="BJ8" s="7">
        <f t="shared" si="22"/>
        <v>0</v>
      </c>
      <c r="BK8" s="4">
        <f t="shared" si="23"/>
        <v>0</v>
      </c>
      <c r="BL8" s="3">
        <f t="shared" si="55"/>
        <v>1384.3333333333333</v>
      </c>
      <c r="BM8" s="3">
        <f>IF(PH!AP24=0,0,IF(PH!AO24-PH!AP24&lt;=0,0,PH!AO24-PH!AP24))</f>
        <v>0</v>
      </c>
      <c r="BN8" s="8">
        <f t="shared" si="24"/>
        <v>0</v>
      </c>
      <c r="BO8" s="3">
        <f t="shared" si="56"/>
        <v>15227.66666666667</v>
      </c>
      <c r="BP8" s="7">
        <f t="shared" si="25"/>
        <v>0</v>
      </c>
      <c r="BQ8" s="4">
        <f t="shared" si="26"/>
        <v>0</v>
      </c>
      <c r="BR8" s="3">
        <f t="shared" si="57"/>
        <v>1384.3333333333333</v>
      </c>
      <c r="BS8" s="3">
        <f>IF(PH!AS24=0,0,IF(PH!AR24-PH!AS24&lt;=0,0,PH!AR24-PH!AS24))</f>
        <v>0</v>
      </c>
      <c r="BT8" s="8">
        <f t="shared" si="58"/>
        <v>0</v>
      </c>
      <c r="BU8" s="3">
        <f t="shared" si="59"/>
        <v>16612.000000000004</v>
      </c>
      <c r="BV8" s="7">
        <f t="shared" si="27"/>
        <v>0</v>
      </c>
      <c r="BW8" s="4">
        <f t="shared" si="28"/>
        <v>0</v>
      </c>
    </row>
    <row r="9" spans="1:75" s="1" customFormat="1">
      <c r="A9" s="11">
        <v>8</v>
      </c>
      <c r="B9" s="2" t="s">
        <v>338</v>
      </c>
      <c r="C9" s="6">
        <v>279343</v>
      </c>
      <c r="D9" s="50">
        <f t="shared" si="29"/>
        <v>23278.583333333332</v>
      </c>
      <c r="E9" s="3">
        <f>IF(SG!L24=0,0,IF(SG!K24-SG!L24&lt;=0,0,SG!K24-SG!L24))</f>
        <v>0</v>
      </c>
      <c r="F9" s="8">
        <f t="shared" si="0"/>
        <v>0</v>
      </c>
      <c r="G9" s="3">
        <f t="shared" si="30"/>
        <v>23278.583333333332</v>
      </c>
      <c r="H9" s="7">
        <f t="shared" si="31"/>
        <v>0</v>
      </c>
      <c r="I9" s="4">
        <f t="shared" si="32"/>
        <v>0</v>
      </c>
      <c r="J9" s="3">
        <f t="shared" si="33"/>
        <v>23278.583333333332</v>
      </c>
      <c r="K9" s="3">
        <f>IF(SG!O24=0,0,IF(SG!N24-SG!O24&lt;=0,0,SG!N24-SG!O24))</f>
        <v>0</v>
      </c>
      <c r="L9" s="8">
        <f t="shared" si="1"/>
        <v>0</v>
      </c>
      <c r="M9" s="3">
        <f t="shared" si="34"/>
        <v>46557.166666666664</v>
      </c>
      <c r="N9" s="7">
        <f t="shared" si="35"/>
        <v>0</v>
      </c>
      <c r="O9" s="4">
        <f t="shared" si="36"/>
        <v>0</v>
      </c>
      <c r="P9" s="3">
        <f t="shared" si="37"/>
        <v>23278.583333333332</v>
      </c>
      <c r="Q9" s="51">
        <f>IF(SG!R24=0,0,IF(SG!Q24-SG!R24&lt;=0,0,SG!Q24-SG!R24))</f>
        <v>0</v>
      </c>
      <c r="R9" s="8">
        <f t="shared" si="2"/>
        <v>0</v>
      </c>
      <c r="S9" s="3">
        <f t="shared" si="38"/>
        <v>69835.75</v>
      </c>
      <c r="T9" s="7">
        <f t="shared" si="39"/>
        <v>0</v>
      </c>
      <c r="U9" s="4">
        <f t="shared" si="3"/>
        <v>0</v>
      </c>
      <c r="V9" s="3">
        <f t="shared" si="40"/>
        <v>23278.583333333332</v>
      </c>
      <c r="W9" s="3">
        <f>IF(SG!U24=0,0,IF(SG!T24-SG!U24&lt;=0,0,SG!T24-SG!U24))</f>
        <v>0</v>
      </c>
      <c r="X9" s="8">
        <f t="shared" si="4"/>
        <v>0</v>
      </c>
      <c r="Y9" s="3">
        <f t="shared" si="41"/>
        <v>93114.333333333328</v>
      </c>
      <c r="Z9" s="7">
        <f t="shared" si="42"/>
        <v>0</v>
      </c>
      <c r="AA9" s="4">
        <f t="shared" si="5"/>
        <v>0</v>
      </c>
      <c r="AB9" s="3">
        <f t="shared" si="43"/>
        <v>23278.583333333332</v>
      </c>
      <c r="AC9" s="3">
        <f>IF(SG!X24=0,0,IF(SG!W24-SG!X24&lt;=0,0,SG!W24-SG!X24))</f>
        <v>0</v>
      </c>
      <c r="AD9" s="8">
        <f t="shared" si="6"/>
        <v>0</v>
      </c>
      <c r="AE9" s="3">
        <f t="shared" si="44"/>
        <v>116392.91666666666</v>
      </c>
      <c r="AF9" s="7">
        <f t="shared" si="7"/>
        <v>0</v>
      </c>
      <c r="AG9" s="4">
        <f t="shared" si="8"/>
        <v>0</v>
      </c>
      <c r="AH9" s="3">
        <f t="shared" si="45"/>
        <v>23278.583333333332</v>
      </c>
      <c r="AI9" s="3">
        <f>IF(SG!AA24=0,0,IF(SG!Z24-SG!AA24&lt;=0,0,SG!Z24-SG!AA24))</f>
        <v>0</v>
      </c>
      <c r="AJ9" s="8">
        <f t="shared" si="9"/>
        <v>0</v>
      </c>
      <c r="AK9" s="3">
        <f t="shared" si="46"/>
        <v>139671.5</v>
      </c>
      <c r="AL9" s="7">
        <f t="shared" si="10"/>
        <v>0</v>
      </c>
      <c r="AM9" s="4">
        <f t="shared" si="11"/>
        <v>0</v>
      </c>
      <c r="AN9" s="3">
        <f t="shared" si="47"/>
        <v>23278.583333333332</v>
      </c>
      <c r="AO9" s="3">
        <f>IF(SG!AD24=0,0,IF(SG!AC24-SG!AD24&lt;=0,0,SG!AC24-SG!AD24))</f>
        <v>0</v>
      </c>
      <c r="AP9" s="8">
        <f t="shared" si="12"/>
        <v>0</v>
      </c>
      <c r="AQ9" s="3">
        <f t="shared" si="48"/>
        <v>162950.08333333334</v>
      </c>
      <c r="AR9" s="7">
        <f t="shared" si="13"/>
        <v>0</v>
      </c>
      <c r="AS9" s="4">
        <f t="shared" si="14"/>
        <v>0</v>
      </c>
      <c r="AT9" s="3">
        <f t="shared" si="49"/>
        <v>23278.583333333332</v>
      </c>
      <c r="AU9" s="3">
        <f>IF(SG!AG24=0,0,IF(SG!AF24-SG!AG24&lt;=0,0,SG!AF24-SG!AG24))</f>
        <v>0</v>
      </c>
      <c r="AV9" s="8">
        <f t="shared" si="15"/>
        <v>0</v>
      </c>
      <c r="AW9" s="3">
        <f t="shared" si="50"/>
        <v>186228.66666666669</v>
      </c>
      <c r="AX9" s="7">
        <f t="shared" si="16"/>
        <v>0</v>
      </c>
      <c r="AY9" s="4">
        <f t="shared" si="17"/>
        <v>0</v>
      </c>
      <c r="AZ9" s="3">
        <f t="shared" si="51"/>
        <v>23278.583333333332</v>
      </c>
      <c r="BA9" s="3">
        <f>IF(SG!AJ24=0,0,IF(SG!AI24-SG!AJ24&lt;=0,0,SG!AI24-SG!AJ24))</f>
        <v>0</v>
      </c>
      <c r="BB9" s="8">
        <f t="shared" si="18"/>
        <v>0</v>
      </c>
      <c r="BC9" s="3">
        <f t="shared" si="52"/>
        <v>209507.25000000003</v>
      </c>
      <c r="BD9" s="7">
        <f t="shared" si="19"/>
        <v>0</v>
      </c>
      <c r="BE9" s="4">
        <f t="shared" si="20"/>
        <v>0</v>
      </c>
      <c r="BF9" s="3">
        <f t="shared" si="53"/>
        <v>23278.583333333332</v>
      </c>
      <c r="BG9" s="3">
        <f>IF(SG!AM24=0,0,IF(SG!AL24-SG!AM24&lt;=0,0,SG!AL24-SG!AM24))</f>
        <v>0</v>
      </c>
      <c r="BH9" s="8">
        <f t="shared" si="21"/>
        <v>0</v>
      </c>
      <c r="BI9" s="3">
        <f t="shared" si="54"/>
        <v>232785.83333333337</v>
      </c>
      <c r="BJ9" s="7">
        <f t="shared" si="22"/>
        <v>0</v>
      </c>
      <c r="BK9" s="4">
        <f t="shared" si="23"/>
        <v>0</v>
      </c>
      <c r="BL9" s="3">
        <f t="shared" si="55"/>
        <v>23278.583333333332</v>
      </c>
      <c r="BM9" s="3">
        <f>IF(SG!AP24=0,0,IF(SG!AO24-SG!AP24&lt;=0,0,SG!AO24-SG!AP24))</f>
        <v>0</v>
      </c>
      <c r="BN9" s="8">
        <f t="shared" si="24"/>
        <v>0</v>
      </c>
      <c r="BO9" s="3">
        <f t="shared" si="56"/>
        <v>256064.41666666672</v>
      </c>
      <c r="BP9" s="7">
        <f t="shared" si="25"/>
        <v>0</v>
      </c>
      <c r="BQ9" s="4">
        <f t="shared" si="26"/>
        <v>0</v>
      </c>
      <c r="BR9" s="3">
        <f t="shared" si="57"/>
        <v>23278.583333333332</v>
      </c>
      <c r="BS9" s="3">
        <f>IF(SG!AS24=0,0,IF(SG!AR24-SG!AS24&lt;=0,0,SG!AR24-SG!AS24))</f>
        <v>0</v>
      </c>
      <c r="BT9" s="8">
        <f t="shared" si="58"/>
        <v>0</v>
      </c>
      <c r="BU9" s="3">
        <f t="shared" si="59"/>
        <v>279343.00000000006</v>
      </c>
      <c r="BV9" s="7">
        <f t="shared" si="27"/>
        <v>0</v>
      </c>
      <c r="BW9" s="4">
        <f t="shared" si="28"/>
        <v>0</v>
      </c>
    </row>
    <row r="10" spans="1:75">
      <c r="A10" s="11">
        <v>9</v>
      </c>
      <c r="B10" s="2" t="s">
        <v>339</v>
      </c>
      <c r="C10" s="6">
        <v>86121</v>
      </c>
      <c r="D10" s="50">
        <f t="shared" si="29"/>
        <v>7176.75</v>
      </c>
      <c r="E10" s="3">
        <f>IF(TH!L24=0,0,IF(TH!K24-TH!L24&lt;=0,0,TH!K24-TH!L24))</f>
        <v>0</v>
      </c>
      <c r="F10" s="8">
        <f t="shared" si="0"/>
        <v>0</v>
      </c>
      <c r="G10" s="3">
        <f t="shared" si="30"/>
        <v>7176.75</v>
      </c>
      <c r="H10" s="7">
        <f t="shared" si="31"/>
        <v>0</v>
      </c>
      <c r="I10" s="4">
        <f t="shared" si="32"/>
        <v>0</v>
      </c>
      <c r="J10" s="3">
        <f t="shared" si="33"/>
        <v>7176.75</v>
      </c>
      <c r="K10" s="3">
        <f>IF(TH!O24=0,0,IF(TH!N24-TH!O24&lt;=0,0,TH!N24-TH!O24))</f>
        <v>0</v>
      </c>
      <c r="L10" s="8">
        <f t="shared" si="1"/>
        <v>0</v>
      </c>
      <c r="M10" s="3">
        <f t="shared" si="34"/>
        <v>14353.5</v>
      </c>
      <c r="N10" s="7">
        <f t="shared" si="35"/>
        <v>0</v>
      </c>
      <c r="O10" s="4">
        <f t="shared" si="36"/>
        <v>0</v>
      </c>
      <c r="P10" s="3">
        <f t="shared" si="37"/>
        <v>7176.75</v>
      </c>
      <c r="Q10" s="51">
        <f>IF(TH!R24=0,0,IF(TH!Q24-TH!R24&lt;=0,0,TH!Q24-TH!R24))</f>
        <v>0</v>
      </c>
      <c r="R10" s="8">
        <f t="shared" si="2"/>
        <v>0</v>
      </c>
      <c r="S10" s="3">
        <f t="shared" si="38"/>
        <v>21530.25</v>
      </c>
      <c r="T10" s="7">
        <f t="shared" si="39"/>
        <v>0</v>
      </c>
      <c r="U10" s="4">
        <f t="shared" si="3"/>
        <v>0</v>
      </c>
      <c r="V10" s="3">
        <f t="shared" si="40"/>
        <v>7176.75</v>
      </c>
      <c r="W10" s="3">
        <f>IF(TH!U24=0,0,IF(TH!T24-TH!U24&lt;=0,0,TH!T24-TH!U24))</f>
        <v>0</v>
      </c>
      <c r="X10" s="8">
        <f t="shared" si="4"/>
        <v>0</v>
      </c>
      <c r="Y10" s="3">
        <f t="shared" si="41"/>
        <v>28707</v>
      </c>
      <c r="Z10" s="7">
        <f t="shared" si="42"/>
        <v>0</v>
      </c>
      <c r="AA10" s="4">
        <f t="shared" si="5"/>
        <v>0</v>
      </c>
      <c r="AB10" s="3">
        <f t="shared" si="43"/>
        <v>7176.75</v>
      </c>
      <c r="AC10" s="3">
        <f>IF(TH!X24=0,0,IF(TH!W24-TH!X24&lt;=0,0,TH!W24-TH!X24))</f>
        <v>0</v>
      </c>
      <c r="AD10" s="8">
        <f t="shared" si="6"/>
        <v>0</v>
      </c>
      <c r="AE10" s="3">
        <f t="shared" si="44"/>
        <v>35883.75</v>
      </c>
      <c r="AF10" s="7">
        <f t="shared" si="7"/>
        <v>0</v>
      </c>
      <c r="AG10" s="4">
        <f t="shared" si="8"/>
        <v>0</v>
      </c>
      <c r="AH10" s="3">
        <f t="shared" si="45"/>
        <v>7176.75</v>
      </c>
      <c r="AI10" s="3">
        <f>IF(TH!AA24=0,0,IF(TH!Z24-TH!AA24&lt;=0,0,TH!Z24-TH!AA24))</f>
        <v>0</v>
      </c>
      <c r="AJ10" s="8">
        <f t="shared" si="9"/>
        <v>0</v>
      </c>
      <c r="AK10" s="3">
        <f t="shared" si="46"/>
        <v>43060.5</v>
      </c>
      <c r="AL10" s="7">
        <f t="shared" si="10"/>
        <v>0</v>
      </c>
      <c r="AM10" s="4">
        <f t="shared" si="11"/>
        <v>0</v>
      </c>
      <c r="AN10" s="3">
        <f t="shared" si="47"/>
        <v>7176.75</v>
      </c>
      <c r="AO10" s="3">
        <f>IF(TH!AD24=0,0,IF(TH!AC24-TH!AD24&lt;=0,0,TH!AC24-TH!AD24))</f>
        <v>0</v>
      </c>
      <c r="AP10" s="8">
        <f t="shared" si="12"/>
        <v>0</v>
      </c>
      <c r="AQ10" s="3">
        <f t="shared" si="48"/>
        <v>50237.25</v>
      </c>
      <c r="AR10" s="7">
        <f t="shared" si="13"/>
        <v>0</v>
      </c>
      <c r="AS10" s="4">
        <f t="shared" si="14"/>
        <v>0</v>
      </c>
      <c r="AT10" s="3">
        <f t="shared" si="49"/>
        <v>7176.75</v>
      </c>
      <c r="AU10" s="3">
        <f>IF(TH!AG24=0,0,IF(TH!AF24-TH!AG24&lt;=0,0,TH!AF24-TH!AG24))</f>
        <v>0</v>
      </c>
      <c r="AV10" s="8">
        <f t="shared" si="15"/>
        <v>0</v>
      </c>
      <c r="AW10" s="3">
        <f t="shared" si="50"/>
        <v>57414</v>
      </c>
      <c r="AX10" s="7">
        <f t="shared" si="16"/>
        <v>0</v>
      </c>
      <c r="AY10" s="4">
        <f t="shared" si="17"/>
        <v>0</v>
      </c>
      <c r="AZ10" s="3">
        <f t="shared" si="51"/>
        <v>7176.75</v>
      </c>
      <c r="BA10" s="3">
        <f>IF(TH!AJ24=0,0,IF(TH!AI24-TH!AJ24&lt;=0,0,TH!AI24-TH!AJ24))</f>
        <v>0</v>
      </c>
      <c r="BB10" s="8">
        <f t="shared" si="18"/>
        <v>0</v>
      </c>
      <c r="BC10" s="3">
        <f t="shared" si="52"/>
        <v>64590.75</v>
      </c>
      <c r="BD10" s="7">
        <f t="shared" si="19"/>
        <v>0</v>
      </c>
      <c r="BE10" s="4">
        <f t="shared" si="20"/>
        <v>0</v>
      </c>
      <c r="BF10" s="3">
        <f t="shared" si="53"/>
        <v>7176.75</v>
      </c>
      <c r="BG10" s="3">
        <f>IF(TH!AM24=0,0,IF(TH!AL24-TH!AM24&lt;=0,0,TH!AL24-TH!AM24))</f>
        <v>0</v>
      </c>
      <c r="BH10" s="8">
        <f t="shared" si="21"/>
        <v>0</v>
      </c>
      <c r="BI10" s="3">
        <f t="shared" si="54"/>
        <v>71767.5</v>
      </c>
      <c r="BJ10" s="7">
        <f t="shared" si="22"/>
        <v>0</v>
      </c>
      <c r="BK10" s="4">
        <f t="shared" si="23"/>
        <v>0</v>
      </c>
      <c r="BL10" s="3">
        <f t="shared" si="55"/>
        <v>7176.75</v>
      </c>
      <c r="BM10" s="3">
        <f>IF(TH!AP24=0,0,IF(TH!AO24-TH!AP24&lt;=0,0,TH!AO24-TH!AP24))</f>
        <v>0</v>
      </c>
      <c r="BN10" s="8">
        <f t="shared" si="24"/>
        <v>0</v>
      </c>
      <c r="BO10" s="3">
        <f t="shared" si="56"/>
        <v>78944.25</v>
      </c>
      <c r="BP10" s="7">
        <f t="shared" si="25"/>
        <v>0</v>
      </c>
      <c r="BQ10" s="4">
        <f t="shared" si="26"/>
        <v>0</v>
      </c>
      <c r="BR10" s="3">
        <f t="shared" si="57"/>
        <v>7176.75</v>
      </c>
      <c r="BS10" s="3">
        <f>IF(TH!AS24=0,0,IF(TH!AR24-TH!AS24&lt;=0,0,TH!AR24-TH!AS24))</f>
        <v>0</v>
      </c>
      <c r="BT10" s="8">
        <f t="shared" si="58"/>
        <v>0</v>
      </c>
      <c r="BU10" s="3">
        <f t="shared" si="59"/>
        <v>86121</v>
      </c>
      <c r="BV10" s="7">
        <f t="shared" si="27"/>
        <v>0</v>
      </c>
      <c r="BW10" s="4">
        <f t="shared" si="28"/>
        <v>0</v>
      </c>
    </row>
    <row r="11" spans="1:75" ht="15" thickBot="1">
      <c r="A11" s="11">
        <v>10</v>
      </c>
      <c r="B11" s="104" t="s">
        <v>340</v>
      </c>
      <c r="C11" s="105">
        <v>334941</v>
      </c>
      <c r="D11" s="106">
        <f t="shared" si="29"/>
        <v>27911.75</v>
      </c>
      <c r="E11" s="107">
        <f>IF(TW!L24=0,0,IF(TW!K24-TW!L24&lt;=0,0,TW!K24-TW!L24))</f>
        <v>0</v>
      </c>
      <c r="F11" s="108">
        <f t="shared" si="0"/>
        <v>0</v>
      </c>
      <c r="G11" s="107">
        <f t="shared" si="30"/>
        <v>27911.75</v>
      </c>
      <c r="H11" s="109">
        <f t="shared" si="31"/>
        <v>0</v>
      </c>
      <c r="I11" s="110">
        <f t="shared" si="32"/>
        <v>0</v>
      </c>
      <c r="J11" s="107">
        <f t="shared" si="33"/>
        <v>27911.75</v>
      </c>
      <c r="K11" s="107">
        <f>IF(TW!O24=0,0,IF(TW!N24-TW!O24&lt;=0,0,TW!N24-TW!O24))</f>
        <v>0</v>
      </c>
      <c r="L11" s="108">
        <f t="shared" si="1"/>
        <v>0</v>
      </c>
      <c r="M11" s="107">
        <f t="shared" si="34"/>
        <v>55823.5</v>
      </c>
      <c r="N11" s="109">
        <f t="shared" si="35"/>
        <v>0</v>
      </c>
      <c r="O11" s="110">
        <f t="shared" si="36"/>
        <v>0</v>
      </c>
      <c r="P11" s="107">
        <f t="shared" si="37"/>
        <v>27911.75</v>
      </c>
      <c r="Q11" s="111">
        <f>IF(TW!R24=0,0,IF(TW!Q24-TW!R24&lt;=0,0,TW!Q24-TW!R24))</f>
        <v>0</v>
      </c>
      <c r="R11" s="108">
        <f t="shared" si="2"/>
        <v>0</v>
      </c>
      <c r="S11" s="107">
        <f t="shared" si="38"/>
        <v>83735.25</v>
      </c>
      <c r="T11" s="109">
        <f t="shared" si="39"/>
        <v>0</v>
      </c>
      <c r="U11" s="110">
        <f t="shared" si="3"/>
        <v>0</v>
      </c>
      <c r="V11" s="107">
        <f t="shared" si="40"/>
        <v>27911.75</v>
      </c>
      <c r="W11" s="107">
        <f>IF(TW!U24=0,0,IF(TW!T24-TW!U24&lt;=0,0,TW!T24-TW!U24))</f>
        <v>0</v>
      </c>
      <c r="X11" s="108">
        <f t="shared" si="4"/>
        <v>0</v>
      </c>
      <c r="Y11" s="107">
        <f t="shared" si="41"/>
        <v>111647</v>
      </c>
      <c r="Z11" s="109">
        <f t="shared" si="42"/>
        <v>0</v>
      </c>
      <c r="AA11" s="110">
        <f t="shared" si="5"/>
        <v>0</v>
      </c>
      <c r="AB11" s="107">
        <f t="shared" si="43"/>
        <v>27911.75</v>
      </c>
      <c r="AC11" s="107">
        <f>IF(TW!X24=0,0,IF(TW!W24-TW!X24&lt;=0,0,TW!W24-TW!X24))</f>
        <v>0</v>
      </c>
      <c r="AD11" s="108">
        <f t="shared" si="6"/>
        <v>0</v>
      </c>
      <c r="AE11" s="107">
        <f t="shared" si="44"/>
        <v>139558.75</v>
      </c>
      <c r="AF11" s="109">
        <f t="shared" si="7"/>
        <v>0</v>
      </c>
      <c r="AG11" s="110">
        <f t="shared" si="8"/>
        <v>0</v>
      </c>
      <c r="AH11" s="107">
        <f t="shared" si="45"/>
        <v>27911.75</v>
      </c>
      <c r="AI11" s="107">
        <f>IF(TW!AA24=0,0,IF(TW!Z24-TW!AA24&lt;=0,0,TW!Z24-TW!AA24))</f>
        <v>0</v>
      </c>
      <c r="AJ11" s="108">
        <f t="shared" si="9"/>
        <v>0</v>
      </c>
      <c r="AK11" s="107">
        <f t="shared" si="46"/>
        <v>167470.5</v>
      </c>
      <c r="AL11" s="109">
        <f t="shared" si="10"/>
        <v>0</v>
      </c>
      <c r="AM11" s="110">
        <f t="shared" si="11"/>
        <v>0</v>
      </c>
      <c r="AN11" s="107">
        <f t="shared" si="47"/>
        <v>27911.75</v>
      </c>
      <c r="AO11" s="107">
        <f>IF(TW!AD24=0,0,IF(TW!AC24-TW!AD24&lt;=0,0,TW!AC24-TW!AD24))</f>
        <v>0</v>
      </c>
      <c r="AP11" s="108">
        <f t="shared" si="12"/>
        <v>0</v>
      </c>
      <c r="AQ11" s="107">
        <f t="shared" si="48"/>
        <v>195382.25</v>
      </c>
      <c r="AR11" s="109">
        <f t="shared" si="13"/>
        <v>0</v>
      </c>
      <c r="AS11" s="110">
        <f t="shared" si="14"/>
        <v>0</v>
      </c>
      <c r="AT11" s="107">
        <f t="shared" si="49"/>
        <v>27911.75</v>
      </c>
      <c r="AU11" s="107">
        <f>IF(TW!AG24=0,0,IF(TW!AF24-TW!AG24&lt;=0,0,TW!AF24-TW!AG24))</f>
        <v>0</v>
      </c>
      <c r="AV11" s="108">
        <f t="shared" si="15"/>
        <v>0</v>
      </c>
      <c r="AW11" s="107">
        <f t="shared" si="50"/>
        <v>223294</v>
      </c>
      <c r="AX11" s="109">
        <f t="shared" si="16"/>
        <v>0</v>
      </c>
      <c r="AY11" s="110">
        <f t="shared" si="17"/>
        <v>0</v>
      </c>
      <c r="AZ11" s="107">
        <f t="shared" si="51"/>
        <v>27911.75</v>
      </c>
      <c r="BA11" s="107">
        <f>IF(TW!AJ24=0,0,IF(TW!AI24-TW!AJ24&lt;=0,0,TW!AI24-TW!AJ24))</f>
        <v>0</v>
      </c>
      <c r="BB11" s="108">
        <f t="shared" si="18"/>
        <v>0</v>
      </c>
      <c r="BC11" s="107">
        <f t="shared" si="52"/>
        <v>251205.75</v>
      </c>
      <c r="BD11" s="109">
        <f t="shared" si="19"/>
        <v>0</v>
      </c>
      <c r="BE11" s="110">
        <f t="shared" si="20"/>
        <v>0</v>
      </c>
      <c r="BF11" s="107">
        <f t="shared" si="53"/>
        <v>27911.75</v>
      </c>
      <c r="BG11" s="107">
        <f>IF(TW!AM24=0,0,IF(TW!AL24-TW!AM24&lt;=0,0,TW!AL24-TW!AM24))</f>
        <v>0</v>
      </c>
      <c r="BH11" s="108">
        <f t="shared" si="21"/>
        <v>0</v>
      </c>
      <c r="BI11" s="107">
        <f t="shared" si="54"/>
        <v>279117.5</v>
      </c>
      <c r="BJ11" s="109">
        <f t="shared" si="22"/>
        <v>0</v>
      </c>
      <c r="BK11" s="110">
        <f t="shared" si="23"/>
        <v>0</v>
      </c>
      <c r="BL11" s="107">
        <f t="shared" si="55"/>
        <v>27911.75</v>
      </c>
      <c r="BM11" s="107">
        <f>IF(TW!AP24=0,0,IF(TW!AO24-TW!AP24&lt;=0,0,TW!AO24-TW!AP24))</f>
        <v>0</v>
      </c>
      <c r="BN11" s="108">
        <f t="shared" si="24"/>
        <v>0</v>
      </c>
      <c r="BO11" s="107">
        <f t="shared" si="56"/>
        <v>307029.25</v>
      </c>
      <c r="BP11" s="109">
        <f t="shared" si="25"/>
        <v>0</v>
      </c>
      <c r="BQ11" s="110">
        <f t="shared" si="26"/>
        <v>0</v>
      </c>
      <c r="BR11" s="107">
        <f t="shared" si="57"/>
        <v>27911.75</v>
      </c>
      <c r="BS11" s="107">
        <f>IF(TW!AS24=0,0,IF(TW!AR24-TW!AS24&lt;=0,0,TW!AR24-TW!AS24))</f>
        <v>0</v>
      </c>
      <c r="BT11" s="108">
        <f t="shared" si="58"/>
        <v>0</v>
      </c>
      <c r="BU11" s="107">
        <f t="shared" si="59"/>
        <v>334941</v>
      </c>
      <c r="BV11" s="109">
        <f t="shared" si="27"/>
        <v>0</v>
      </c>
      <c r="BW11" s="110">
        <f t="shared" si="28"/>
        <v>0</v>
      </c>
    </row>
    <row r="12" spans="1:75">
      <c r="B12" s="98" t="s">
        <v>341</v>
      </c>
      <c r="C12" s="99">
        <f>SUM(C2:C11)</f>
        <v>1494527</v>
      </c>
      <c r="D12" s="100">
        <f>C12/12</f>
        <v>124543.91666666667</v>
      </c>
      <c r="E12" s="99">
        <f>SUM(E2:E11)</f>
        <v>0</v>
      </c>
      <c r="F12" s="101">
        <f>E12/D12</f>
        <v>0</v>
      </c>
      <c r="G12" s="102">
        <f t="shared" si="30"/>
        <v>124543.91666666667</v>
      </c>
      <c r="H12" s="99">
        <f>SUM(H2:H11)</f>
        <v>0</v>
      </c>
      <c r="I12" s="103">
        <f>H12/G12</f>
        <v>0</v>
      </c>
      <c r="J12" s="102">
        <f t="shared" si="33"/>
        <v>124543.91666666667</v>
      </c>
      <c r="K12" s="99">
        <f>SUM(K2:K11)</f>
        <v>0</v>
      </c>
      <c r="L12" s="103">
        <f>K12/J12</f>
        <v>0</v>
      </c>
      <c r="M12" s="102">
        <f t="shared" si="34"/>
        <v>249087.83333333334</v>
      </c>
      <c r="N12" s="99">
        <f>SUM(N2:N11)</f>
        <v>0</v>
      </c>
      <c r="O12" s="103">
        <f t="shared" si="36"/>
        <v>0</v>
      </c>
      <c r="P12" s="102">
        <f t="shared" si="37"/>
        <v>124543.91666666667</v>
      </c>
      <c r="Q12" s="99">
        <f>SUM(Q2:Q11)</f>
        <v>0</v>
      </c>
      <c r="R12" s="101">
        <f>Q12/P12</f>
        <v>0</v>
      </c>
      <c r="S12" s="102">
        <f t="shared" si="38"/>
        <v>373631.75</v>
      </c>
      <c r="T12" s="99">
        <f>SUM(T2:T11)</f>
        <v>0</v>
      </c>
      <c r="U12" s="103">
        <f>T12/S12</f>
        <v>0</v>
      </c>
      <c r="V12" s="102">
        <f t="shared" si="40"/>
        <v>124543.91666666667</v>
      </c>
      <c r="W12" s="99">
        <f>SUM(W2:W11)</f>
        <v>0</v>
      </c>
      <c r="X12" s="101">
        <f>W12/V12</f>
        <v>0</v>
      </c>
      <c r="Y12" s="102">
        <f t="shared" si="41"/>
        <v>498175.66666666669</v>
      </c>
      <c r="Z12" s="99">
        <f>SUM(Z2:Z11)</f>
        <v>0</v>
      </c>
      <c r="AA12" s="103">
        <f>Z12/Y12</f>
        <v>0</v>
      </c>
      <c r="AB12" s="102">
        <f t="shared" si="43"/>
        <v>124543.91666666667</v>
      </c>
      <c r="AC12" s="99">
        <f>SUM(AC2:AC11)</f>
        <v>0</v>
      </c>
      <c r="AD12" s="101">
        <f>AC12/AB12</f>
        <v>0</v>
      </c>
      <c r="AE12" s="102">
        <f t="shared" si="44"/>
        <v>622719.58333333337</v>
      </c>
      <c r="AF12" s="99">
        <f>SUM(AF2:AF11)</f>
        <v>0</v>
      </c>
      <c r="AG12" s="103">
        <f>AF12/AE12</f>
        <v>0</v>
      </c>
      <c r="AH12" s="102">
        <f t="shared" si="45"/>
        <v>124543.91666666667</v>
      </c>
      <c r="AI12" s="99">
        <f>SUM(AI2:AI11)</f>
        <v>0</v>
      </c>
      <c r="AJ12" s="101">
        <f>AI12/AH12</f>
        <v>0</v>
      </c>
      <c r="AK12" s="102">
        <f t="shared" si="46"/>
        <v>747263.5</v>
      </c>
      <c r="AL12" s="99">
        <f>SUM(AL2:AL11)</f>
        <v>0</v>
      </c>
      <c r="AM12" s="103">
        <f>AL12/AK12</f>
        <v>0</v>
      </c>
      <c r="AN12" s="102">
        <f t="shared" si="47"/>
        <v>124543.91666666667</v>
      </c>
      <c r="AO12" s="99">
        <f>SUM(AO2:AO11)</f>
        <v>0</v>
      </c>
      <c r="AP12" s="101">
        <f>AO12/AN12</f>
        <v>0</v>
      </c>
      <c r="AQ12" s="102">
        <f t="shared" si="48"/>
        <v>871807.41666666663</v>
      </c>
      <c r="AR12" s="99">
        <f>SUM(AR2:AR11)</f>
        <v>0</v>
      </c>
      <c r="AS12" s="103">
        <f>AR12/AQ12</f>
        <v>0</v>
      </c>
      <c r="AT12" s="102">
        <f t="shared" si="49"/>
        <v>124543.91666666667</v>
      </c>
      <c r="AU12" s="99">
        <f>SUM(AU2:AU11)</f>
        <v>0</v>
      </c>
      <c r="AV12" s="101">
        <f>AU12/AT12</f>
        <v>0</v>
      </c>
      <c r="AW12" s="102">
        <f t="shared" si="50"/>
        <v>996351.33333333326</v>
      </c>
      <c r="AX12" s="99">
        <f>SUM(AX2:AX11)</f>
        <v>0</v>
      </c>
      <c r="AY12" s="103">
        <f>AX12/AW12</f>
        <v>0</v>
      </c>
      <c r="AZ12" s="102">
        <f t="shared" si="51"/>
        <v>124543.91666666667</v>
      </c>
      <c r="BA12" s="99">
        <f>SUM(BA2:BA11)</f>
        <v>0</v>
      </c>
      <c r="BB12" s="101">
        <f>BA12/AZ12</f>
        <v>0</v>
      </c>
      <c r="BC12" s="102">
        <f t="shared" si="52"/>
        <v>1120895.25</v>
      </c>
      <c r="BD12" s="99">
        <f>SUM(BD2:BD11)</f>
        <v>0</v>
      </c>
      <c r="BE12" s="103">
        <f>BD12/BC12</f>
        <v>0</v>
      </c>
      <c r="BF12" s="102">
        <f t="shared" si="53"/>
        <v>124543.91666666667</v>
      </c>
      <c r="BG12" s="99">
        <f>SUM(BG2:BG11)</f>
        <v>0</v>
      </c>
      <c r="BH12" s="101">
        <f>BG12/BF12</f>
        <v>0</v>
      </c>
      <c r="BI12" s="102">
        <f t="shared" si="54"/>
        <v>1245439.1666666667</v>
      </c>
      <c r="BJ12" s="99">
        <f>SUM(BJ2:BJ11)</f>
        <v>0</v>
      </c>
      <c r="BK12" s="103">
        <f>BJ12/BI12</f>
        <v>0</v>
      </c>
      <c r="BL12" s="102">
        <f t="shared" si="55"/>
        <v>124543.91666666667</v>
      </c>
      <c r="BM12" s="99">
        <f>SUM(BM2:BM11)</f>
        <v>0</v>
      </c>
      <c r="BN12" s="101">
        <f>BM12/BL12</f>
        <v>0</v>
      </c>
      <c r="BO12" s="102">
        <f t="shared" si="56"/>
        <v>1369983.0833333335</v>
      </c>
      <c r="BP12" s="99">
        <f>SUM(BP2:BP11)</f>
        <v>0</v>
      </c>
      <c r="BQ12" s="103">
        <f>BP12/BO12</f>
        <v>0</v>
      </c>
      <c r="BR12" s="102">
        <f t="shared" si="57"/>
        <v>124543.91666666667</v>
      </c>
      <c r="BS12" s="99">
        <f>SUM(BS2:BS11)</f>
        <v>0</v>
      </c>
      <c r="BT12" s="101">
        <f t="shared" si="58"/>
        <v>0</v>
      </c>
      <c r="BU12" s="102">
        <f t="shared" si="59"/>
        <v>1494527.0000000002</v>
      </c>
      <c r="BV12" s="99">
        <f>SUM(BV2:BV11)</f>
        <v>0</v>
      </c>
      <c r="BW12" s="103">
        <f>BV12/BU12</f>
        <v>0</v>
      </c>
    </row>
    <row r="13" spans="1:75">
      <c r="V13" s="11" t="s">
        <v>77</v>
      </c>
    </row>
    <row r="14" spans="1:75" ht="29.1">
      <c r="B14" s="16" t="s">
        <v>342</v>
      </c>
      <c r="C14" s="12" t="s">
        <v>302</v>
      </c>
      <c r="D14" s="67" t="s">
        <v>303</v>
      </c>
      <c r="E14" s="68" t="s">
        <v>304</v>
      </c>
      <c r="F14" s="68" t="s">
        <v>305</v>
      </c>
      <c r="G14" s="68" t="s">
        <v>306</v>
      </c>
      <c r="H14" s="68" t="s">
        <v>307</v>
      </c>
      <c r="I14" s="68" t="s">
        <v>308</v>
      </c>
      <c r="J14" s="9" t="s">
        <v>309</v>
      </c>
      <c r="K14" s="9" t="s">
        <v>310</v>
      </c>
      <c r="L14" s="9" t="s">
        <v>305</v>
      </c>
      <c r="M14" s="9" t="s">
        <v>306</v>
      </c>
      <c r="N14" s="9" t="s">
        <v>307</v>
      </c>
      <c r="O14" s="9" t="s">
        <v>308</v>
      </c>
      <c r="P14" s="67" t="s">
        <v>311</v>
      </c>
      <c r="Q14" s="68" t="s">
        <v>312</v>
      </c>
      <c r="R14" s="68" t="s">
        <v>305</v>
      </c>
      <c r="S14" s="68" t="s">
        <v>306</v>
      </c>
      <c r="T14" s="68" t="s">
        <v>307</v>
      </c>
      <c r="U14" s="68" t="s">
        <v>308</v>
      </c>
      <c r="V14" s="9" t="s">
        <v>313</v>
      </c>
      <c r="W14" s="9" t="s">
        <v>314</v>
      </c>
      <c r="X14" s="9" t="s">
        <v>305</v>
      </c>
      <c r="Y14" s="9" t="s">
        <v>306</v>
      </c>
      <c r="Z14" s="9" t="s">
        <v>307</v>
      </c>
      <c r="AA14" s="9" t="s">
        <v>308</v>
      </c>
      <c r="AB14" s="67" t="s">
        <v>315</v>
      </c>
      <c r="AC14" s="68" t="s">
        <v>316</v>
      </c>
      <c r="AD14" s="68" t="s">
        <v>305</v>
      </c>
      <c r="AE14" s="68" t="s">
        <v>306</v>
      </c>
      <c r="AF14" s="68" t="s">
        <v>307</v>
      </c>
      <c r="AG14" s="68" t="s">
        <v>308</v>
      </c>
      <c r="AH14" s="9" t="s">
        <v>317</v>
      </c>
      <c r="AI14" s="9" t="s">
        <v>318</v>
      </c>
      <c r="AJ14" s="9" t="s">
        <v>305</v>
      </c>
      <c r="AK14" s="9" t="s">
        <v>306</v>
      </c>
      <c r="AL14" s="9" t="s">
        <v>307</v>
      </c>
      <c r="AM14" s="9" t="s">
        <v>308</v>
      </c>
      <c r="AN14" s="67" t="s">
        <v>319</v>
      </c>
      <c r="AO14" s="68" t="s">
        <v>320</v>
      </c>
      <c r="AP14" s="68" t="s">
        <v>305</v>
      </c>
      <c r="AQ14" s="68" t="s">
        <v>306</v>
      </c>
      <c r="AR14" s="68" t="s">
        <v>307</v>
      </c>
      <c r="AS14" s="68" t="s">
        <v>308</v>
      </c>
      <c r="AT14" s="9" t="s">
        <v>321</v>
      </c>
      <c r="AU14" s="9" t="s">
        <v>322</v>
      </c>
      <c r="AV14" s="9" t="s">
        <v>305</v>
      </c>
      <c r="AW14" s="9" t="s">
        <v>306</v>
      </c>
      <c r="AX14" s="9" t="s">
        <v>307</v>
      </c>
      <c r="AY14" s="9" t="s">
        <v>308</v>
      </c>
      <c r="AZ14" s="67" t="s">
        <v>323</v>
      </c>
      <c r="BA14" s="68" t="s">
        <v>324</v>
      </c>
      <c r="BB14" s="68" t="s">
        <v>305</v>
      </c>
      <c r="BC14" s="68" t="s">
        <v>306</v>
      </c>
      <c r="BD14" s="68" t="s">
        <v>307</v>
      </c>
      <c r="BE14" s="68" t="s">
        <v>308</v>
      </c>
      <c r="BF14" s="9" t="s">
        <v>325</v>
      </c>
      <c r="BG14" s="9" t="s">
        <v>326</v>
      </c>
      <c r="BH14" s="9" t="s">
        <v>305</v>
      </c>
      <c r="BI14" s="9" t="s">
        <v>306</v>
      </c>
      <c r="BJ14" s="9" t="s">
        <v>307</v>
      </c>
      <c r="BK14" s="9" t="s">
        <v>308</v>
      </c>
      <c r="BL14" s="67" t="s">
        <v>327</v>
      </c>
      <c r="BM14" s="68" t="s">
        <v>328</v>
      </c>
      <c r="BN14" s="68" t="s">
        <v>305</v>
      </c>
      <c r="BO14" s="68" t="s">
        <v>306</v>
      </c>
      <c r="BP14" s="68" t="s">
        <v>307</v>
      </c>
      <c r="BQ14" s="68" t="s">
        <v>308</v>
      </c>
      <c r="BR14" s="9" t="s">
        <v>329</v>
      </c>
      <c r="BS14" s="9" t="s">
        <v>330</v>
      </c>
      <c r="BT14" s="9" t="s">
        <v>305</v>
      </c>
      <c r="BU14" s="9" t="s">
        <v>306</v>
      </c>
      <c r="BV14" s="9" t="s">
        <v>307</v>
      </c>
      <c r="BW14" s="9" t="s">
        <v>308</v>
      </c>
    </row>
    <row r="15" spans="1:75">
      <c r="B15" s="46" t="s">
        <v>343</v>
      </c>
      <c r="C15" s="36">
        <f>C2+C7+C8+C9+C10</f>
        <v>489950</v>
      </c>
      <c r="D15" s="50">
        <f>C15/12</f>
        <v>40829.166666666664</v>
      </c>
      <c r="E15" s="36">
        <f>E2+E7+E8+E9+E10</f>
        <v>0</v>
      </c>
      <c r="F15" s="8">
        <f>E15/D15</f>
        <v>0</v>
      </c>
      <c r="G15" s="3">
        <f>D15</f>
        <v>40829.166666666664</v>
      </c>
      <c r="H15" s="36">
        <f>H2+H7+H8+H9+H10</f>
        <v>0</v>
      </c>
      <c r="I15" s="8">
        <f>H15/G15</f>
        <v>0</v>
      </c>
      <c r="J15" s="3">
        <f>D15</f>
        <v>40829.166666666664</v>
      </c>
      <c r="K15" s="36">
        <f>K2+K7+K8+K9+K10</f>
        <v>0</v>
      </c>
      <c r="L15" s="8">
        <f>K15/J15</f>
        <v>0</v>
      </c>
      <c r="M15" s="36">
        <f>J15+G15</f>
        <v>81658.333333333328</v>
      </c>
      <c r="N15" s="7">
        <f>K15+H15</f>
        <v>0</v>
      </c>
      <c r="O15" s="8">
        <f>N15/M15</f>
        <v>0</v>
      </c>
      <c r="P15" s="3">
        <f>J15</f>
        <v>40829.166666666664</v>
      </c>
      <c r="Q15" s="36">
        <f>Q2+Q7+Q8+Q9+Q10</f>
        <v>0</v>
      </c>
      <c r="R15" s="8">
        <f>Q15/P15</f>
        <v>0</v>
      </c>
      <c r="S15" s="36">
        <f>S2+S7+S8+S9+S10</f>
        <v>122487.5</v>
      </c>
      <c r="T15" s="7">
        <f>Q15+N15</f>
        <v>0</v>
      </c>
      <c r="U15" s="8">
        <f>T15/S15</f>
        <v>0</v>
      </c>
      <c r="V15" s="3">
        <f>P15</f>
        <v>40829.166666666664</v>
      </c>
      <c r="W15" s="36">
        <f>W2+W7+W8+W9+W10</f>
        <v>0</v>
      </c>
      <c r="X15" s="8">
        <f>W15/V15</f>
        <v>0</v>
      </c>
      <c r="Y15" s="36">
        <f>Y2+Y7+Y8+Y9+Y10</f>
        <v>163316.66666666666</v>
      </c>
      <c r="Z15" s="7">
        <f>W15+T15</f>
        <v>0</v>
      </c>
      <c r="AA15" s="8">
        <f>Z15/Y15</f>
        <v>0</v>
      </c>
      <c r="AB15" s="3">
        <f>V15</f>
        <v>40829.166666666664</v>
      </c>
      <c r="AC15" s="36">
        <f>AC2+AC7+AC8+AC9+AC10</f>
        <v>0</v>
      </c>
      <c r="AD15" s="8">
        <f>AC15/AB15</f>
        <v>0</v>
      </c>
      <c r="AE15" s="36">
        <f>AE2+AE7+AE8+AE9+AE10</f>
        <v>204145.83333333331</v>
      </c>
      <c r="AF15" s="7">
        <f>AC15+Z15</f>
        <v>0</v>
      </c>
      <c r="AG15" s="8">
        <f>AF15/AE15</f>
        <v>0</v>
      </c>
      <c r="AH15" s="3">
        <f>AB15</f>
        <v>40829.166666666664</v>
      </c>
      <c r="AI15" s="36">
        <f>AI2+AI7+AI8+AI9+AI10</f>
        <v>0</v>
      </c>
      <c r="AJ15" s="8">
        <f>AI15/AH15</f>
        <v>0</v>
      </c>
      <c r="AK15" s="36">
        <f>AK2+AK7+AK8+AK9+AK10</f>
        <v>244975</v>
      </c>
      <c r="AL15" s="7">
        <f>AI15+AF15</f>
        <v>0</v>
      </c>
      <c r="AM15" s="8">
        <f>AL15/AK15</f>
        <v>0</v>
      </c>
      <c r="AN15" s="3">
        <f>AH15</f>
        <v>40829.166666666664</v>
      </c>
      <c r="AO15" s="36">
        <f>AO2+AO7+AO8+AO9+AO10</f>
        <v>0</v>
      </c>
      <c r="AP15" s="8">
        <f>AO15/AN15</f>
        <v>0</v>
      </c>
      <c r="AQ15" s="36">
        <f>AQ2+AQ7+AQ8+AQ9+AQ10</f>
        <v>285804.16666666669</v>
      </c>
      <c r="AR15" s="7">
        <f>AO15+AL15</f>
        <v>0</v>
      </c>
      <c r="AS15" s="8">
        <f>AR15/AQ15</f>
        <v>0</v>
      </c>
      <c r="AT15" s="3">
        <f>AN15</f>
        <v>40829.166666666664</v>
      </c>
      <c r="AU15" s="36">
        <f>AU2+AU7+AU8+AU9+AU10</f>
        <v>0</v>
      </c>
      <c r="AV15" s="8">
        <f>AU15/AT15</f>
        <v>0</v>
      </c>
      <c r="AW15" s="36">
        <f>AW2+AW7+AW8+AW9+AW10</f>
        <v>326633.33333333337</v>
      </c>
      <c r="AX15" s="7">
        <f>AU15+AR15</f>
        <v>0</v>
      </c>
      <c r="AY15" s="8">
        <f>AX15/AW15</f>
        <v>0</v>
      </c>
      <c r="AZ15" s="3">
        <f>AT15</f>
        <v>40829.166666666664</v>
      </c>
      <c r="BA15" s="36">
        <f>BA2+BA7+BA8+BA9+BA10</f>
        <v>0</v>
      </c>
      <c r="BB15" s="8">
        <f>BA15/AZ15</f>
        <v>0</v>
      </c>
      <c r="BC15" s="36">
        <f>BC2+BC7+BC8+BC9+BC10</f>
        <v>367462.5</v>
      </c>
      <c r="BD15" s="7">
        <f>BA15+AX15</f>
        <v>0</v>
      </c>
      <c r="BE15" s="8">
        <f>BD15/BC15</f>
        <v>0</v>
      </c>
      <c r="BF15" s="3">
        <f>AZ15</f>
        <v>40829.166666666664</v>
      </c>
      <c r="BG15" s="36">
        <f>BG2+BG7+BG8+BG9+BG10</f>
        <v>0</v>
      </c>
      <c r="BH15" s="8">
        <f>BG15/BF15</f>
        <v>0</v>
      </c>
      <c r="BI15" s="36">
        <f>BI2+BI7+BI8+BI9+BI10</f>
        <v>408291.66666666674</v>
      </c>
      <c r="BJ15" s="7">
        <f>BG15+BD15</f>
        <v>0</v>
      </c>
      <c r="BK15" s="8">
        <f>BJ15/BI15</f>
        <v>0</v>
      </c>
      <c r="BL15" s="3">
        <f>BF15</f>
        <v>40829.166666666664</v>
      </c>
      <c r="BM15" s="36">
        <f>BM2+BM7+BM8+BM9+BM10</f>
        <v>0</v>
      </c>
      <c r="BN15" s="8">
        <f>BM15/BL15</f>
        <v>0</v>
      </c>
      <c r="BO15" s="36">
        <f>BO2+BO7+BO8+BO9+BO10</f>
        <v>449120.83333333337</v>
      </c>
      <c r="BP15" s="7">
        <f>BM15+BJ15</f>
        <v>0</v>
      </c>
      <c r="BQ15" s="8">
        <f>BP15/BO15</f>
        <v>0</v>
      </c>
      <c r="BR15" s="3">
        <f>BL15</f>
        <v>40829.166666666664</v>
      </c>
      <c r="BS15" s="36">
        <f>BS2+BS7+BS8+BS9+BS10</f>
        <v>0</v>
      </c>
      <c r="BT15" s="8">
        <f>BS15/BR15</f>
        <v>0</v>
      </c>
      <c r="BU15" s="36">
        <f>BU2+BU7+BU8+BU9+BU10</f>
        <v>489950.00000000006</v>
      </c>
      <c r="BV15" s="7">
        <f>BS15+BP15</f>
        <v>0</v>
      </c>
      <c r="BW15" s="8">
        <f>BV15/BU15</f>
        <v>0</v>
      </c>
    </row>
    <row r="16" spans="1:75">
      <c r="B16" s="46" t="s">
        <v>344</v>
      </c>
      <c r="C16" s="36">
        <f>C4+C5+C6+C11</f>
        <v>797333</v>
      </c>
      <c r="D16" s="50">
        <f>C16/12</f>
        <v>66444.416666666672</v>
      </c>
      <c r="E16" s="36">
        <f>E4+E5+E6+E11</f>
        <v>0</v>
      </c>
      <c r="F16" s="8">
        <f>E16/D16</f>
        <v>0</v>
      </c>
      <c r="G16" s="3">
        <f>D16</f>
        <v>66444.416666666672</v>
      </c>
      <c r="H16" s="36">
        <f>H4+H5+H6+H11</f>
        <v>0</v>
      </c>
      <c r="I16" s="8">
        <f>H16/G16</f>
        <v>0</v>
      </c>
      <c r="J16" s="3">
        <f>D16</f>
        <v>66444.416666666672</v>
      </c>
      <c r="K16" s="36">
        <f>K4+K5+K6+K11</f>
        <v>0</v>
      </c>
      <c r="L16" s="8">
        <f>K16/J16</f>
        <v>0</v>
      </c>
      <c r="M16" s="36">
        <f>J16+G16</f>
        <v>132888.83333333334</v>
      </c>
      <c r="N16" s="7">
        <f>K16+H16</f>
        <v>0</v>
      </c>
      <c r="O16" s="8">
        <f>N16/M16</f>
        <v>0</v>
      </c>
      <c r="P16" s="3">
        <f>J16</f>
        <v>66444.416666666672</v>
      </c>
      <c r="Q16" s="36">
        <f>Q4+Q5+Q6+Q11</f>
        <v>0</v>
      </c>
      <c r="R16" s="8">
        <f>Q16/P16</f>
        <v>0</v>
      </c>
      <c r="S16" s="36">
        <f>S4+S5+S6+S11</f>
        <v>199333.25</v>
      </c>
      <c r="T16" s="7">
        <f>Q16+N16</f>
        <v>0</v>
      </c>
      <c r="U16" s="8">
        <f>T16/S16</f>
        <v>0</v>
      </c>
      <c r="V16" s="3">
        <f>P16</f>
        <v>66444.416666666672</v>
      </c>
      <c r="W16" s="36">
        <f>W4+W5+W6+W11</f>
        <v>0</v>
      </c>
      <c r="X16" s="8">
        <f>W16/V16</f>
        <v>0</v>
      </c>
      <c r="Y16" s="36">
        <f>Y4+Y5+Y6+Y11</f>
        <v>265777.66666666663</v>
      </c>
      <c r="Z16" s="7">
        <f>W16+T16</f>
        <v>0</v>
      </c>
      <c r="AA16" s="8">
        <f>Z16/Y16</f>
        <v>0</v>
      </c>
      <c r="AB16" s="3">
        <f>V16</f>
        <v>66444.416666666672</v>
      </c>
      <c r="AC16" s="36">
        <f>AC4+AC5+AC6+AC11</f>
        <v>0</v>
      </c>
      <c r="AD16" s="8">
        <f>AC16/AB16</f>
        <v>0</v>
      </c>
      <c r="AE16" s="36">
        <f>AE4+AE5+AE6+AE11</f>
        <v>332222.08333333337</v>
      </c>
      <c r="AF16" s="7">
        <f>AC16+Z16</f>
        <v>0</v>
      </c>
      <c r="AG16" s="8">
        <f>AF16/AE16</f>
        <v>0</v>
      </c>
      <c r="AH16" s="3">
        <f>AB16</f>
        <v>66444.416666666672</v>
      </c>
      <c r="AI16" s="36">
        <f>AI4+AI5+AI6+AI11</f>
        <v>0</v>
      </c>
      <c r="AJ16" s="8">
        <f>AI16/AH16</f>
        <v>0</v>
      </c>
      <c r="AK16" s="36">
        <f>AK4+AK5+AK6+AK11</f>
        <v>398666.5</v>
      </c>
      <c r="AL16" s="7">
        <f>AI16+AF16</f>
        <v>0</v>
      </c>
      <c r="AM16" s="8">
        <f>AL16/AK16</f>
        <v>0</v>
      </c>
      <c r="AN16" s="3">
        <f>AH16</f>
        <v>66444.416666666672</v>
      </c>
      <c r="AO16" s="36">
        <f>AO4+AO5+AO6+AO11</f>
        <v>0</v>
      </c>
      <c r="AP16" s="8">
        <f>AO16/AN16</f>
        <v>0</v>
      </c>
      <c r="AQ16" s="36">
        <f>AQ4+AQ5+AQ6+AQ11</f>
        <v>465110.91666666669</v>
      </c>
      <c r="AR16" s="7">
        <f>AO16+AL16</f>
        <v>0</v>
      </c>
      <c r="AS16" s="8">
        <f>AR16/AQ16</f>
        <v>0</v>
      </c>
      <c r="AT16" s="3">
        <f>AN16</f>
        <v>66444.416666666672</v>
      </c>
      <c r="AU16" s="36">
        <f>AU4+AU5+AU6+AU11</f>
        <v>0</v>
      </c>
      <c r="AV16" s="8">
        <f>AU16/AT16</f>
        <v>0</v>
      </c>
      <c r="AW16" s="36">
        <f>AW4+AW5+AW6+AW11</f>
        <v>531555.33333333326</v>
      </c>
      <c r="AX16" s="7">
        <f>AU16+AR16</f>
        <v>0</v>
      </c>
      <c r="AY16" s="8">
        <f>AX16/AW16</f>
        <v>0</v>
      </c>
      <c r="AZ16" s="3">
        <f>AT16</f>
        <v>66444.416666666672</v>
      </c>
      <c r="BA16" s="36">
        <f>BA4+BA5+BA6+BA11</f>
        <v>0</v>
      </c>
      <c r="BB16" s="8">
        <f>BA16/AZ16</f>
        <v>0</v>
      </c>
      <c r="BC16" s="36">
        <f>BC4+BC5+BC6+BC11</f>
        <v>597999.75</v>
      </c>
      <c r="BD16" s="7">
        <f>BA16+AX16</f>
        <v>0</v>
      </c>
      <c r="BE16" s="8">
        <f>BD16/BC16</f>
        <v>0</v>
      </c>
      <c r="BF16" s="3">
        <f>AZ16</f>
        <v>66444.416666666672</v>
      </c>
      <c r="BG16" s="36">
        <f>BG4+BG5+BG6+BG11</f>
        <v>0</v>
      </c>
      <c r="BH16" s="8">
        <f>BG16/BF16</f>
        <v>0</v>
      </c>
      <c r="BI16" s="36">
        <f>BI4+BI5+BI6+BI11</f>
        <v>664444.16666666674</v>
      </c>
      <c r="BJ16" s="7">
        <f>BG16+BD16</f>
        <v>0</v>
      </c>
      <c r="BK16" s="8">
        <f>BJ16/BI16</f>
        <v>0</v>
      </c>
      <c r="BL16" s="3">
        <f>BF16</f>
        <v>66444.416666666672</v>
      </c>
      <c r="BM16" s="36">
        <f>BM4+BM5+BM6+BM11</f>
        <v>0</v>
      </c>
      <c r="BN16" s="8">
        <f>BM16/BL16</f>
        <v>0</v>
      </c>
      <c r="BO16" s="36">
        <f>BO4+BO5+BO6+BO11</f>
        <v>730888.58333333337</v>
      </c>
      <c r="BP16" s="7">
        <f>BM16+BJ16</f>
        <v>0</v>
      </c>
      <c r="BQ16" s="8">
        <f>BP16/BO16</f>
        <v>0</v>
      </c>
      <c r="BR16" s="3">
        <f>BL16</f>
        <v>66444.416666666672</v>
      </c>
      <c r="BS16" s="36">
        <f>BS4+BS5+BS6+BS11</f>
        <v>0</v>
      </c>
      <c r="BT16" s="8">
        <f>BS16/BR16</f>
        <v>0</v>
      </c>
      <c r="BU16" s="36">
        <f>BU4+BU5+BU6+BU11</f>
        <v>797333</v>
      </c>
      <c r="BV16" s="7">
        <f>BS16+BP16</f>
        <v>0</v>
      </c>
      <c r="BW16" s="8">
        <f>BV16/BU16</f>
        <v>0</v>
      </c>
    </row>
    <row r="17" spans="2:75">
      <c r="B17" s="46" t="s">
        <v>345</v>
      </c>
      <c r="C17" s="36">
        <f>C3</f>
        <v>207244</v>
      </c>
      <c r="D17" s="50">
        <f>C17/12</f>
        <v>17270.333333333332</v>
      </c>
      <c r="E17" s="36">
        <f>E3</f>
        <v>0</v>
      </c>
      <c r="F17" s="8">
        <f>E17/D17</f>
        <v>0</v>
      </c>
      <c r="G17" s="3">
        <f>D17</f>
        <v>17270.333333333332</v>
      </c>
      <c r="H17" s="36">
        <f>H3</f>
        <v>0</v>
      </c>
      <c r="I17" s="8">
        <f>H17/G17</f>
        <v>0</v>
      </c>
      <c r="J17" s="3">
        <f>D17</f>
        <v>17270.333333333332</v>
      </c>
      <c r="K17" s="36">
        <f>K3</f>
        <v>0</v>
      </c>
      <c r="L17" s="8">
        <f>K17/J17</f>
        <v>0</v>
      </c>
      <c r="M17" s="36">
        <f>M3</f>
        <v>34540.666666666664</v>
      </c>
      <c r="N17" s="7">
        <f>K17+H17</f>
        <v>0</v>
      </c>
      <c r="O17" s="8">
        <f>N17/M17</f>
        <v>0</v>
      </c>
      <c r="P17" s="3">
        <f>J17</f>
        <v>17270.333333333332</v>
      </c>
      <c r="Q17" s="36">
        <f>Q3</f>
        <v>0</v>
      </c>
      <c r="R17" s="8">
        <f>Q17/P17</f>
        <v>0</v>
      </c>
      <c r="S17" s="36">
        <f>S3</f>
        <v>51811</v>
      </c>
      <c r="T17" s="7">
        <f>Q17+N17</f>
        <v>0</v>
      </c>
      <c r="U17" s="8">
        <f>T17/S17</f>
        <v>0</v>
      </c>
      <c r="V17" s="3">
        <f>P17</f>
        <v>17270.333333333332</v>
      </c>
      <c r="W17" s="36">
        <f>W3</f>
        <v>0</v>
      </c>
      <c r="X17" s="8">
        <f>W17/V17</f>
        <v>0</v>
      </c>
      <c r="Y17" s="36">
        <f>Y3</f>
        <v>69081.333333333328</v>
      </c>
      <c r="Z17" s="7">
        <f>W17+T17</f>
        <v>0</v>
      </c>
      <c r="AA17" s="8">
        <f>Z17/Y17</f>
        <v>0</v>
      </c>
      <c r="AB17" s="3">
        <f>V17</f>
        <v>17270.333333333332</v>
      </c>
      <c r="AC17" s="36">
        <f>AC3</f>
        <v>0</v>
      </c>
      <c r="AD17" s="8">
        <f>AC17/AB17</f>
        <v>0</v>
      </c>
      <c r="AE17" s="36">
        <f>AE3</f>
        <v>86351.666666666657</v>
      </c>
      <c r="AF17" s="7">
        <f>AC17+Z17</f>
        <v>0</v>
      </c>
      <c r="AG17" s="8">
        <f>AF17/AE17</f>
        <v>0</v>
      </c>
      <c r="AH17" s="3">
        <f>AB17</f>
        <v>17270.333333333332</v>
      </c>
      <c r="AI17" s="36">
        <f>AI3</f>
        <v>0</v>
      </c>
      <c r="AJ17" s="8">
        <f>AI17/AH17</f>
        <v>0</v>
      </c>
      <c r="AK17" s="36">
        <f>AK3</f>
        <v>103621.99999999999</v>
      </c>
      <c r="AL17" s="7">
        <f>AI17+AF17</f>
        <v>0</v>
      </c>
      <c r="AM17" s="8">
        <f>AL17/AK17</f>
        <v>0</v>
      </c>
      <c r="AN17" s="3">
        <f>AH17</f>
        <v>17270.333333333332</v>
      </c>
      <c r="AO17" s="36">
        <f>AO3</f>
        <v>0</v>
      </c>
      <c r="AP17" s="8">
        <f>AO17/AN17</f>
        <v>0</v>
      </c>
      <c r="AQ17" s="36">
        <f>AQ3</f>
        <v>120892.33333333331</v>
      </c>
      <c r="AR17" s="7">
        <f>AO17+AL17</f>
        <v>0</v>
      </c>
      <c r="AS17" s="8">
        <f>AR17/AQ17</f>
        <v>0</v>
      </c>
      <c r="AT17" s="3">
        <f>AN17</f>
        <v>17270.333333333332</v>
      </c>
      <c r="AU17" s="36">
        <f>AU3</f>
        <v>0</v>
      </c>
      <c r="AV17" s="8">
        <f>AU17/AT17</f>
        <v>0</v>
      </c>
      <c r="AW17" s="36">
        <f>AW3</f>
        <v>138162.66666666666</v>
      </c>
      <c r="AX17" s="7">
        <f>AU17+AR17</f>
        <v>0</v>
      </c>
      <c r="AY17" s="8">
        <f>AX17/AW17</f>
        <v>0</v>
      </c>
      <c r="AZ17" s="3">
        <f>AT17</f>
        <v>17270.333333333332</v>
      </c>
      <c r="BA17" s="36">
        <f>BA3</f>
        <v>0</v>
      </c>
      <c r="BB17" s="8">
        <f>BA17/AZ17</f>
        <v>0</v>
      </c>
      <c r="BC17" s="36">
        <f>BC3</f>
        <v>155433</v>
      </c>
      <c r="BD17" s="7">
        <f>BA17+AX17</f>
        <v>0</v>
      </c>
      <c r="BE17" s="8">
        <f>BD17/BC17</f>
        <v>0</v>
      </c>
      <c r="BF17" s="3">
        <f>AZ17</f>
        <v>17270.333333333332</v>
      </c>
      <c r="BG17" s="36">
        <f>BG3</f>
        <v>0</v>
      </c>
      <c r="BH17" s="8">
        <f>BG17/BF17</f>
        <v>0</v>
      </c>
      <c r="BI17" s="36">
        <f>BI3</f>
        <v>172703.33333333334</v>
      </c>
      <c r="BJ17" s="7">
        <f>BG17+BD17</f>
        <v>0</v>
      </c>
      <c r="BK17" s="8">
        <f>BJ17/BI17</f>
        <v>0</v>
      </c>
      <c r="BL17" s="3">
        <f>BF17</f>
        <v>17270.333333333332</v>
      </c>
      <c r="BM17" s="36">
        <f>BM3</f>
        <v>0</v>
      </c>
      <c r="BN17" s="8">
        <f>BM17/BL17</f>
        <v>0</v>
      </c>
      <c r="BO17" s="36">
        <f>BO3</f>
        <v>189973.66666666669</v>
      </c>
      <c r="BP17" s="7">
        <f>BM17+BJ17</f>
        <v>0</v>
      </c>
      <c r="BQ17" s="8">
        <f>BP17/BO17</f>
        <v>0</v>
      </c>
      <c r="BR17" s="3">
        <f>BL17</f>
        <v>17270.333333333332</v>
      </c>
      <c r="BS17" s="36">
        <f>BS3</f>
        <v>0</v>
      </c>
      <c r="BT17" s="8">
        <f>BS17/BR17</f>
        <v>0</v>
      </c>
      <c r="BU17" s="36">
        <f>BU3</f>
        <v>207244.00000000003</v>
      </c>
      <c r="BV17" s="7">
        <f>BS17+BP17</f>
        <v>0</v>
      </c>
      <c r="BW17" s="8">
        <f>BV17/BU17</f>
        <v>0</v>
      </c>
    </row>
    <row r="18" spans="2:75">
      <c r="C18" s="47">
        <f>SUM(C15:C17)</f>
        <v>1494527</v>
      </c>
      <c r="M18" s="48"/>
    </row>
    <row r="20" spans="2:75">
      <c r="B20" s="97" t="s">
        <v>346</v>
      </c>
    </row>
    <row r="21" spans="2:75">
      <c r="C21" s="5" t="s">
        <v>347</v>
      </c>
      <c r="D21" s="5" t="s">
        <v>348</v>
      </c>
      <c r="E21" s="5" t="s">
        <v>349</v>
      </c>
      <c r="F21" s="5" t="s">
        <v>350</v>
      </c>
      <c r="G21" s="5" t="s">
        <v>351</v>
      </c>
      <c r="H21" s="5" t="s">
        <v>352</v>
      </c>
      <c r="I21" s="5" t="s">
        <v>353</v>
      </c>
      <c r="J21" s="5" t="s">
        <v>354</v>
      </c>
      <c r="K21" s="5" t="s">
        <v>355</v>
      </c>
      <c r="L21" s="5" t="s">
        <v>356</v>
      </c>
      <c r="M21" s="5" t="s">
        <v>357</v>
      </c>
      <c r="N21" s="5" t="s">
        <v>358</v>
      </c>
    </row>
    <row r="22" spans="2:75">
      <c r="B22" s="5" t="s">
        <v>306</v>
      </c>
      <c r="C22" s="36">
        <f>G12</f>
        <v>124543.91666666667</v>
      </c>
      <c r="D22" s="36">
        <f>M12</f>
        <v>249087.83333333334</v>
      </c>
      <c r="E22" s="36">
        <f>S12</f>
        <v>373631.75</v>
      </c>
      <c r="F22" s="50">
        <f>Y12</f>
        <v>498175.66666666669</v>
      </c>
      <c r="G22" s="36">
        <f>AE12</f>
        <v>622719.58333333337</v>
      </c>
      <c r="H22" s="36">
        <f>AK12</f>
        <v>747263.5</v>
      </c>
      <c r="I22" s="36">
        <f>AQ12</f>
        <v>871807.41666666663</v>
      </c>
      <c r="J22" s="36">
        <f>AW12</f>
        <v>996351.33333333326</v>
      </c>
      <c r="K22" s="36">
        <f>BC12</f>
        <v>1120895.25</v>
      </c>
      <c r="L22" s="36">
        <f>BI12</f>
        <v>1245439.1666666667</v>
      </c>
      <c r="M22" s="36">
        <f>BO12</f>
        <v>1369983.0833333335</v>
      </c>
      <c r="N22" s="36">
        <f>BU12</f>
        <v>1494527.0000000002</v>
      </c>
    </row>
    <row r="23" spans="2:75">
      <c r="B23" s="5" t="s">
        <v>359</v>
      </c>
      <c r="C23" s="36">
        <f>H12</f>
        <v>0</v>
      </c>
      <c r="D23" s="36">
        <f>N12</f>
        <v>0</v>
      </c>
      <c r="E23" s="36">
        <f>T12</f>
        <v>0</v>
      </c>
      <c r="F23" s="50">
        <f>Z12</f>
        <v>0</v>
      </c>
      <c r="G23" s="36">
        <f>AF12</f>
        <v>0</v>
      </c>
      <c r="H23" s="36">
        <f>AL12</f>
        <v>0</v>
      </c>
      <c r="I23" s="36">
        <f>AR12</f>
        <v>0</v>
      </c>
      <c r="J23" s="36">
        <f>AX12</f>
        <v>0</v>
      </c>
      <c r="K23" s="36">
        <f>BD12</f>
        <v>0</v>
      </c>
      <c r="L23" s="36">
        <f>BJ12</f>
        <v>0</v>
      </c>
      <c r="M23" s="36">
        <f>BP12</f>
        <v>0</v>
      </c>
      <c r="N23" s="5"/>
    </row>
    <row r="24" spans="2:75">
      <c r="D24"/>
      <c r="F24" s="49"/>
    </row>
    <row r="42" spans="2:5">
      <c r="B42" t="s">
        <v>360</v>
      </c>
      <c r="D42"/>
    </row>
    <row r="43" spans="2:5" ht="29.1">
      <c r="B43" s="12" t="s">
        <v>301</v>
      </c>
      <c r="C43" s="68" t="s">
        <v>306</v>
      </c>
      <c r="D43" s="68" t="s">
        <v>307</v>
      </c>
      <c r="E43" s="68" t="s">
        <v>308</v>
      </c>
    </row>
    <row r="44" spans="2:5">
      <c r="B44" s="2" t="s">
        <v>331</v>
      </c>
      <c r="C44" s="3">
        <f>D2</f>
        <v>7610</v>
      </c>
      <c r="D44" s="7"/>
      <c r="E44" s="4"/>
    </row>
    <row r="45" spans="2:5">
      <c r="B45" s="2" t="s">
        <v>332</v>
      </c>
      <c r="C45" s="3">
        <f t="shared" ref="C45:C53" si="60">D3</f>
        <v>17270.333333333332</v>
      </c>
      <c r="D45" s="7"/>
      <c r="E45" s="4"/>
    </row>
    <row r="46" spans="2:5">
      <c r="B46" s="2" t="s">
        <v>333</v>
      </c>
      <c r="C46" s="3">
        <f t="shared" si="60"/>
        <v>6854.916666666667</v>
      </c>
      <c r="D46" s="7"/>
      <c r="E46" s="4"/>
    </row>
    <row r="47" spans="2:5">
      <c r="B47" s="2" t="s">
        <v>334</v>
      </c>
      <c r="C47" s="3">
        <f t="shared" si="60"/>
        <v>24369.833333333332</v>
      </c>
      <c r="D47" s="7"/>
      <c r="E47" s="4"/>
    </row>
    <row r="48" spans="2:5">
      <c r="B48" s="2" t="s">
        <v>335</v>
      </c>
      <c r="C48" s="3">
        <f t="shared" si="60"/>
        <v>7307.916666666667</v>
      </c>
      <c r="D48" s="7"/>
      <c r="E48" s="4"/>
    </row>
    <row r="49" spans="2:5">
      <c r="B49" s="2" t="s">
        <v>336</v>
      </c>
      <c r="C49" s="3">
        <f t="shared" si="60"/>
        <v>1379.5</v>
      </c>
      <c r="D49" s="7"/>
      <c r="E49" s="4"/>
    </row>
    <row r="50" spans="2:5">
      <c r="B50" s="2" t="s">
        <v>337</v>
      </c>
      <c r="C50" s="3">
        <f t="shared" si="60"/>
        <v>1384.3333333333333</v>
      </c>
      <c r="D50" s="7"/>
      <c r="E50" s="4"/>
    </row>
    <row r="51" spans="2:5">
      <c r="B51" s="2" t="s">
        <v>338</v>
      </c>
      <c r="C51" s="3">
        <f t="shared" si="60"/>
        <v>23278.583333333332</v>
      </c>
      <c r="D51" s="7"/>
      <c r="E51" s="4"/>
    </row>
    <row r="52" spans="2:5">
      <c r="B52" s="2" t="s">
        <v>339</v>
      </c>
      <c r="C52" s="3">
        <f t="shared" si="60"/>
        <v>7176.75</v>
      </c>
      <c r="D52" s="7"/>
      <c r="E52" s="4"/>
    </row>
    <row r="53" spans="2:5">
      <c r="B53" s="2" t="s">
        <v>340</v>
      </c>
      <c r="C53" s="3">
        <f t="shared" si="60"/>
        <v>27911.75</v>
      </c>
      <c r="D53" s="7"/>
      <c r="E53" s="4"/>
    </row>
    <row r="54" spans="2:5">
      <c r="B54" s="46" t="s">
        <v>77</v>
      </c>
      <c r="C54" s="3">
        <f>SUM(C44:C53)</f>
        <v>124543.91666666666</v>
      </c>
      <c r="D54" s="36"/>
      <c r="E54" s="4"/>
    </row>
    <row r="55" spans="2:5">
      <c r="D55"/>
    </row>
    <row r="56" spans="2:5">
      <c r="D56"/>
    </row>
    <row r="58" spans="2:5">
      <c r="D58"/>
    </row>
    <row r="59" spans="2:5">
      <c r="D59"/>
    </row>
    <row r="60" spans="2:5">
      <c r="D60"/>
    </row>
    <row r="61" spans="2:5">
      <c r="D61"/>
    </row>
    <row r="62" spans="2:5">
      <c r="D62"/>
    </row>
  </sheetData>
  <phoneticPr fontId="10"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2"/>
  <sheetViews>
    <sheetView workbookViewId="0">
      <selection activeCell="E7" sqref="E7"/>
    </sheetView>
  </sheetViews>
  <sheetFormatPr defaultRowHeight="14.45"/>
  <cols>
    <col min="1" max="1" width="7.28515625" bestFit="1" customWidth="1"/>
    <col min="2" max="2" width="20.42578125" bestFit="1" customWidth="1"/>
    <col min="3" max="3" width="26.5703125" bestFit="1" customWidth="1"/>
  </cols>
  <sheetData>
    <row r="1" spans="1:3" ht="29.45" thickBot="1">
      <c r="A1" s="81" t="s">
        <v>342</v>
      </c>
      <c r="B1" s="82" t="s">
        <v>301</v>
      </c>
      <c r="C1" s="83" t="s">
        <v>361</v>
      </c>
    </row>
    <row r="2" spans="1:3" ht="15" thickBot="1">
      <c r="A2" s="130" t="s">
        <v>362</v>
      </c>
      <c r="B2" s="84" t="s">
        <v>332</v>
      </c>
      <c r="C2" s="85">
        <v>207244</v>
      </c>
    </row>
    <row r="3" spans="1:3" ht="15" thickBot="1">
      <c r="A3" s="132" t="s">
        <v>363</v>
      </c>
      <c r="B3" s="84" t="s">
        <v>340</v>
      </c>
      <c r="C3" s="85">
        <v>334941</v>
      </c>
    </row>
    <row r="4" spans="1:3" ht="15" thickBot="1">
      <c r="A4" s="133"/>
      <c r="B4" s="84" t="s">
        <v>335</v>
      </c>
      <c r="C4" s="85">
        <v>87695</v>
      </c>
    </row>
    <row r="5" spans="1:3" ht="15" thickBot="1">
      <c r="A5" s="133"/>
      <c r="B5" s="84" t="s">
        <v>334</v>
      </c>
      <c r="C5" s="85">
        <v>292438</v>
      </c>
    </row>
    <row r="6" spans="1:3" ht="15" thickBot="1">
      <c r="A6" s="134"/>
      <c r="B6" s="84" t="s">
        <v>333</v>
      </c>
      <c r="C6" s="85">
        <v>82259</v>
      </c>
    </row>
    <row r="7" spans="1:3" ht="15" thickBot="1">
      <c r="A7" s="132" t="s">
        <v>364</v>
      </c>
      <c r="B7" s="84" t="s">
        <v>331</v>
      </c>
      <c r="C7" s="85">
        <v>91320</v>
      </c>
    </row>
    <row r="8" spans="1:3" ht="15" thickBot="1">
      <c r="A8" s="133"/>
      <c r="B8" s="84" t="s">
        <v>339</v>
      </c>
      <c r="C8" s="85">
        <v>86121</v>
      </c>
    </row>
    <row r="9" spans="1:3" ht="15" thickBot="1">
      <c r="A9" s="133"/>
      <c r="B9" s="84" t="s">
        <v>338</v>
      </c>
      <c r="C9" s="85">
        <v>279343</v>
      </c>
    </row>
    <row r="10" spans="1:3" ht="15" thickBot="1">
      <c r="A10" s="133"/>
      <c r="B10" s="84" t="s">
        <v>336</v>
      </c>
      <c r="C10" s="85">
        <v>16554</v>
      </c>
    </row>
    <row r="11" spans="1:3" ht="15" thickBot="1">
      <c r="A11" s="133"/>
      <c r="B11" s="86" t="s">
        <v>337</v>
      </c>
      <c r="C11" s="87">
        <v>16612</v>
      </c>
    </row>
    <row r="12" spans="1:3" ht="29.45" thickBot="1">
      <c r="A12" s="81" t="s">
        <v>365</v>
      </c>
      <c r="B12" s="88" t="s">
        <v>366</v>
      </c>
      <c r="C12" s="89">
        <f>SUM(C2:C11)</f>
        <v>1494527</v>
      </c>
    </row>
  </sheetData>
  <mergeCells count="2">
    <mergeCell ref="A3:A6"/>
    <mergeCell ref="A7:A11"/>
  </mergeCells>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64"/>
  <sheetViews>
    <sheetView topLeftCell="A13" workbookViewId="0">
      <selection activeCell="C3" sqref="C3"/>
    </sheetView>
  </sheetViews>
  <sheetFormatPr defaultRowHeight="14.45"/>
  <cols>
    <col min="2" max="2" width="11.5703125" bestFit="1" customWidth="1"/>
    <col min="3" max="3" width="13.42578125" bestFit="1" customWidth="1"/>
    <col min="4" max="4" width="13.140625" customWidth="1"/>
    <col min="5" max="5" width="10.42578125" customWidth="1"/>
    <col min="6" max="6" width="10.28515625" customWidth="1"/>
    <col min="7" max="7" width="10.140625" customWidth="1"/>
  </cols>
  <sheetData>
    <row r="1" spans="1:7">
      <c r="A1" t="s">
        <v>367</v>
      </c>
    </row>
    <row r="2" spans="1:7" ht="29.1">
      <c r="A2" s="11"/>
      <c r="B2" s="12" t="s">
        <v>301</v>
      </c>
      <c r="C2" s="34" t="s">
        <v>368</v>
      </c>
    </row>
    <row r="3" spans="1:7">
      <c r="A3" s="11">
        <v>1</v>
      </c>
      <c r="B3" s="2" t="s">
        <v>331</v>
      </c>
      <c r="C3" s="7">
        <v>2929</v>
      </c>
    </row>
    <row r="4" spans="1:7">
      <c r="A4" s="11">
        <v>2</v>
      </c>
      <c r="B4" s="2" t="s">
        <v>332</v>
      </c>
      <c r="C4" s="7">
        <v>17112.152914285718</v>
      </c>
    </row>
    <row r="5" spans="1:7">
      <c r="A5" s="11">
        <v>3</v>
      </c>
      <c r="B5" s="2" t="s">
        <v>333</v>
      </c>
      <c r="C5" s="7">
        <v>0</v>
      </c>
    </row>
    <row r="6" spans="1:7">
      <c r="A6" s="11">
        <v>4</v>
      </c>
      <c r="B6" s="2" t="s">
        <v>334</v>
      </c>
      <c r="C6" s="7">
        <v>132503.79870000004</v>
      </c>
    </row>
    <row r="7" spans="1:7">
      <c r="A7" s="11">
        <v>5</v>
      </c>
      <c r="B7" s="2" t="s">
        <v>335</v>
      </c>
      <c r="C7" s="7">
        <v>2776.3461990497658</v>
      </c>
    </row>
    <row r="8" spans="1:7">
      <c r="A8" s="11">
        <v>6</v>
      </c>
      <c r="B8" s="2" t="s">
        <v>336</v>
      </c>
      <c r="C8" s="7">
        <v>0</v>
      </c>
    </row>
    <row r="9" spans="1:7">
      <c r="A9" s="11">
        <v>7</v>
      </c>
      <c r="B9" s="2" t="s">
        <v>337</v>
      </c>
      <c r="C9" s="7">
        <v>0</v>
      </c>
    </row>
    <row r="10" spans="1:7">
      <c r="A10" s="11">
        <v>8</v>
      </c>
      <c r="B10" s="2" t="s">
        <v>338</v>
      </c>
      <c r="C10" s="7">
        <v>0</v>
      </c>
    </row>
    <row r="11" spans="1:7">
      <c r="A11" s="11">
        <v>9</v>
      </c>
      <c r="B11" s="2" t="s">
        <v>339</v>
      </c>
      <c r="C11" s="7">
        <v>4107</v>
      </c>
    </row>
    <row r="12" spans="1:7">
      <c r="A12" s="11">
        <v>10</v>
      </c>
      <c r="B12" s="2" t="s">
        <v>340</v>
      </c>
      <c r="C12" s="7">
        <v>79756.296741053637</v>
      </c>
    </row>
    <row r="15" spans="1:7">
      <c r="A15" t="s">
        <v>369</v>
      </c>
    </row>
    <row r="16" spans="1:7" ht="43.5">
      <c r="A16" s="12" t="s">
        <v>301</v>
      </c>
      <c r="B16" s="12" t="s">
        <v>302</v>
      </c>
      <c r="C16" s="13" t="s">
        <v>370</v>
      </c>
      <c r="D16" s="16" t="s">
        <v>371</v>
      </c>
      <c r="E16" s="10" t="s">
        <v>306</v>
      </c>
      <c r="F16" s="10" t="s">
        <v>359</v>
      </c>
      <c r="G16" s="10" t="s">
        <v>372</v>
      </c>
    </row>
    <row r="17" spans="1:7">
      <c r="A17" s="2" t="s">
        <v>331</v>
      </c>
      <c r="B17" s="6">
        <v>116113.01160891436</v>
      </c>
      <c r="C17" s="15"/>
      <c r="D17" s="17">
        <v>116113.01160891436</v>
      </c>
      <c r="E17" s="3">
        <v>29028.252902228589</v>
      </c>
      <c r="F17" s="7">
        <v>2929</v>
      </c>
      <c r="G17" s="4">
        <f>F17/E17</f>
        <v>0.10090169773101058</v>
      </c>
    </row>
    <row r="18" spans="1:7">
      <c r="A18" s="2" t="s">
        <v>332</v>
      </c>
      <c r="B18" s="6">
        <v>215638.45013084094</v>
      </c>
      <c r="C18" s="6">
        <v>1463.0220124729658</v>
      </c>
      <c r="D18" s="17">
        <v>217101.47214331391</v>
      </c>
      <c r="E18" s="3">
        <v>54275.368035828476</v>
      </c>
      <c r="F18" s="7">
        <v>62595.652914285703</v>
      </c>
      <c r="G18" s="4">
        <f>F18/E18</f>
        <v>1.153297622467798</v>
      </c>
    </row>
    <row r="19" spans="1:7">
      <c r="A19" s="2" t="s">
        <v>333</v>
      </c>
      <c r="B19" s="6">
        <v>132700.58469590213</v>
      </c>
      <c r="C19" s="6">
        <v>49243.062546692541</v>
      </c>
      <c r="D19" s="17">
        <v>181943.64724259468</v>
      </c>
      <c r="E19" s="3">
        <v>45485.911810648671</v>
      </c>
      <c r="F19" s="7">
        <v>-7.999999999992724E-2</v>
      </c>
      <c r="G19" s="4">
        <f>F19/E19</f>
        <v>-1.7587863321934881E-6</v>
      </c>
    </row>
    <row r="20" spans="1:7">
      <c r="A20" s="14" t="s">
        <v>373</v>
      </c>
      <c r="B20" s="19">
        <v>0</v>
      </c>
      <c r="C20" s="15"/>
      <c r="D20" s="17">
        <v>0</v>
      </c>
      <c r="E20" s="3">
        <v>0</v>
      </c>
      <c r="F20" s="5"/>
      <c r="G20" s="5"/>
    </row>
    <row r="21" spans="1:7">
      <c r="A21" s="2" t="s">
        <v>334</v>
      </c>
      <c r="B21" s="6">
        <v>230267.34300091502</v>
      </c>
      <c r="C21" s="15"/>
      <c r="D21" s="17">
        <v>230267.34300091502</v>
      </c>
      <c r="E21" s="3">
        <v>57566.835750228754</v>
      </c>
      <c r="F21" s="7">
        <v>148941.66180000006</v>
      </c>
      <c r="G21" s="4">
        <f>F21/E21</f>
        <v>2.5872824145872602</v>
      </c>
    </row>
    <row r="22" spans="1:7">
      <c r="A22" s="2" t="s">
        <v>335</v>
      </c>
      <c r="B22" s="6">
        <v>99525.438521926582</v>
      </c>
      <c r="C22" s="15"/>
      <c r="D22" s="17">
        <v>99525.438521926582</v>
      </c>
      <c r="E22" s="3">
        <v>24881.359630481646</v>
      </c>
      <c r="F22" s="7">
        <v>12293.73603077</v>
      </c>
      <c r="G22" s="4">
        <f>F22/E22</f>
        <v>0.49409422207415044</v>
      </c>
    </row>
    <row r="23" spans="1:7">
      <c r="A23" s="2" t="s">
        <v>336</v>
      </c>
      <c r="B23" s="6">
        <v>16587.573086987766</v>
      </c>
      <c r="C23" s="15"/>
      <c r="D23" s="17">
        <v>16587.573086987766</v>
      </c>
      <c r="E23" s="3">
        <v>4146.8932717469415</v>
      </c>
      <c r="F23" s="7">
        <v>6655</v>
      </c>
      <c r="G23" s="4">
        <f>F23/E23</f>
        <v>1.6048158377600301</v>
      </c>
    </row>
    <row r="24" spans="1:7">
      <c r="A24" s="2" t="s">
        <v>374</v>
      </c>
      <c r="B24" s="19">
        <v>0</v>
      </c>
      <c r="C24" s="15"/>
      <c r="D24" s="17">
        <v>0</v>
      </c>
      <c r="E24" s="3">
        <v>0</v>
      </c>
      <c r="F24" s="5"/>
      <c r="G24" s="5"/>
    </row>
    <row r="25" spans="1:7">
      <c r="A25" s="2" t="s">
        <v>337</v>
      </c>
      <c r="B25" s="6">
        <v>16587.573086987766</v>
      </c>
      <c r="C25" s="15"/>
      <c r="D25" s="17">
        <v>16587.573086987766</v>
      </c>
      <c r="E25" s="3">
        <v>4146.8932717469415</v>
      </c>
      <c r="F25" s="7">
        <v>0</v>
      </c>
      <c r="G25" s="4">
        <f>F25/E25</f>
        <v>0</v>
      </c>
    </row>
    <row r="26" spans="1:7">
      <c r="A26" s="2" t="s">
        <v>338</v>
      </c>
      <c r="B26" s="6">
        <v>348339.03482674301</v>
      </c>
      <c r="C26" s="3">
        <v>31598.852582923992</v>
      </c>
      <c r="D26" s="18">
        <v>379937.88740966702</v>
      </c>
      <c r="E26" s="3">
        <v>94984.471852416755</v>
      </c>
      <c r="F26" s="7">
        <v>0</v>
      </c>
      <c r="G26" s="4">
        <f>F26/E26</f>
        <v>0</v>
      </c>
    </row>
    <row r="27" spans="1:7">
      <c r="A27" s="2" t="s">
        <v>339</v>
      </c>
      <c r="B27" s="6">
        <v>52333.487045662507</v>
      </c>
      <c r="C27" s="15"/>
      <c r="D27" s="17">
        <v>52333.487045662507</v>
      </c>
      <c r="E27" s="3">
        <v>13083.371761415627</v>
      </c>
      <c r="F27" s="7">
        <v>4107</v>
      </c>
      <c r="G27" s="4">
        <f>F27/E27</f>
        <v>0.31390990601612478</v>
      </c>
    </row>
    <row r="28" spans="1:7">
      <c r="A28" s="2" t="s">
        <v>340</v>
      </c>
      <c r="B28" s="6">
        <v>167467.15854612002</v>
      </c>
      <c r="C28" s="6">
        <v>70130.878678211651</v>
      </c>
      <c r="D28" s="17">
        <v>237598.03722433167</v>
      </c>
      <c r="E28" s="3">
        <v>59399.509306082917</v>
      </c>
      <c r="F28" s="7">
        <v>79756.296741053695</v>
      </c>
      <c r="G28" s="4">
        <f>F28/E28</f>
        <v>1.3427096902446314</v>
      </c>
    </row>
    <row r="29" spans="1:7">
      <c r="A29" s="2" t="s">
        <v>77</v>
      </c>
      <c r="B29" s="6">
        <f>SUM(B17:B28)</f>
        <v>1395559.6545509999</v>
      </c>
      <c r="C29" s="6">
        <f>SUM(C17:C28)</f>
        <v>152435.81582030116</v>
      </c>
      <c r="D29" s="6">
        <f>SUM(D17:D28)</f>
        <v>1547995.4703713011</v>
      </c>
      <c r="E29" s="6">
        <f>SUM(E17:E28)</f>
        <v>386998.86759282526</v>
      </c>
      <c r="F29" s="6">
        <f>SUM(F17:F28)</f>
        <v>317278.26748610946</v>
      </c>
      <c r="G29" s="4">
        <f>F29/E29</f>
        <v>0.81984288341620881</v>
      </c>
    </row>
    <row r="30" spans="1:7">
      <c r="A30" s="38"/>
      <c r="B30" s="39"/>
      <c r="C30" s="39"/>
      <c r="D30" s="40"/>
      <c r="E30" s="41"/>
      <c r="F30" s="42"/>
      <c r="G30" s="43"/>
    </row>
    <row r="31" spans="1:7">
      <c r="A31" s="44" t="s">
        <v>375</v>
      </c>
    </row>
    <row r="32" spans="1:7" ht="43.5">
      <c r="A32" s="12" t="s">
        <v>301</v>
      </c>
      <c r="B32" s="12" t="s">
        <v>302</v>
      </c>
      <c r="C32" s="13" t="s">
        <v>370</v>
      </c>
      <c r="D32" s="16" t="s">
        <v>371</v>
      </c>
      <c r="E32" s="10" t="s">
        <v>306</v>
      </c>
      <c r="F32" s="10" t="s">
        <v>359</v>
      </c>
      <c r="G32" s="10" t="s">
        <v>372</v>
      </c>
    </row>
    <row r="33" spans="1:7">
      <c r="A33" s="2" t="s">
        <v>331</v>
      </c>
      <c r="B33" s="6">
        <v>81591.409432</v>
      </c>
      <c r="C33" s="15"/>
      <c r="D33" s="17">
        <v>81591.409432</v>
      </c>
      <c r="E33" s="3">
        <v>20397.852358</v>
      </c>
      <c r="F33" s="7">
        <v>-69824</v>
      </c>
      <c r="G33" s="4">
        <v>-3.4231054708372355</v>
      </c>
    </row>
    <row r="34" spans="1:7">
      <c r="A34" s="2" t="s">
        <v>332</v>
      </c>
      <c r="B34" s="6">
        <v>61800.379356000005</v>
      </c>
      <c r="C34" s="6">
        <v>71688.078611175326</v>
      </c>
      <c r="D34" s="17">
        <v>133488.45796717535</v>
      </c>
      <c r="E34" s="3">
        <v>33372.114491793836</v>
      </c>
      <c r="F34" s="7">
        <v>75065.11</v>
      </c>
      <c r="G34" s="4">
        <v>2.2493363439244591</v>
      </c>
    </row>
    <row r="35" spans="1:7">
      <c r="A35" s="35" t="s">
        <v>333</v>
      </c>
      <c r="B35" s="19">
        <v>0</v>
      </c>
      <c r="C35" s="19"/>
      <c r="D35" s="17">
        <v>0</v>
      </c>
      <c r="E35" s="36"/>
      <c r="F35" s="5"/>
      <c r="G35" s="5"/>
    </row>
    <row r="36" spans="1:7">
      <c r="A36" s="14" t="s">
        <v>373</v>
      </c>
      <c r="B36" s="37">
        <v>0</v>
      </c>
      <c r="C36" s="15"/>
      <c r="D36" s="17">
        <v>0</v>
      </c>
      <c r="E36" s="36"/>
      <c r="F36" s="5"/>
      <c r="G36" s="5"/>
    </row>
    <row r="37" spans="1:7">
      <c r="A37" s="35" t="s">
        <v>334</v>
      </c>
      <c r="B37" s="19">
        <v>0</v>
      </c>
      <c r="C37" s="15"/>
      <c r="D37" s="17">
        <v>0</v>
      </c>
      <c r="E37" s="36"/>
      <c r="F37" s="5"/>
      <c r="G37" s="5"/>
    </row>
    <row r="38" spans="1:7">
      <c r="A38" s="35" t="s">
        <v>335</v>
      </c>
      <c r="B38" s="19">
        <v>0</v>
      </c>
      <c r="C38" s="15"/>
      <c r="D38" s="17">
        <v>0</v>
      </c>
      <c r="E38" s="36"/>
      <c r="F38" s="5"/>
      <c r="G38" s="5"/>
    </row>
    <row r="39" spans="1:7">
      <c r="A39" s="35" t="s">
        <v>336</v>
      </c>
      <c r="B39" s="19">
        <v>0</v>
      </c>
      <c r="C39" s="15"/>
      <c r="D39" s="17">
        <v>0</v>
      </c>
      <c r="E39" s="36"/>
      <c r="F39" s="5"/>
      <c r="G39" s="5"/>
    </row>
    <row r="40" spans="1:7">
      <c r="A40" s="35" t="s">
        <v>374</v>
      </c>
      <c r="B40" s="19">
        <v>0</v>
      </c>
      <c r="C40" s="15"/>
      <c r="D40" s="17">
        <v>0</v>
      </c>
      <c r="E40" s="36"/>
      <c r="F40" s="5"/>
      <c r="G40" s="5"/>
    </row>
    <row r="41" spans="1:7">
      <c r="A41" s="35" t="s">
        <v>337</v>
      </c>
      <c r="B41" s="19">
        <v>0</v>
      </c>
      <c r="C41" s="15"/>
      <c r="D41" s="17">
        <v>0</v>
      </c>
      <c r="E41" s="36"/>
      <c r="F41" s="5"/>
      <c r="G41" s="5"/>
    </row>
    <row r="42" spans="1:7">
      <c r="A42" s="2" t="s">
        <v>338</v>
      </c>
      <c r="B42" s="6">
        <v>24295.865106000001</v>
      </c>
      <c r="C42" s="3">
        <v>2747.7263115586079</v>
      </c>
      <c r="D42" s="18">
        <v>27043.591417558608</v>
      </c>
      <c r="E42" s="3">
        <v>6760.8978543896519</v>
      </c>
      <c r="F42" s="7">
        <v>0</v>
      </c>
      <c r="G42" s="4">
        <v>0</v>
      </c>
    </row>
    <row r="43" spans="1:7">
      <c r="A43" s="35" t="s">
        <v>77</v>
      </c>
      <c r="B43" s="36">
        <f>SUM(B33:B42)</f>
        <v>167687.65389400002</v>
      </c>
      <c r="C43" s="36">
        <f>SUM(C33:C42)</f>
        <v>74435.804922733936</v>
      </c>
      <c r="D43" s="36">
        <f>SUM(D33:D42)</f>
        <v>242123.45881673397</v>
      </c>
      <c r="E43" s="36">
        <f>SUM(E33:E42)</f>
        <v>60530.864704183492</v>
      </c>
      <c r="F43" s="36">
        <f>SUM(F33:F42)</f>
        <v>5241.1100000000006</v>
      </c>
      <c r="G43" s="4">
        <f>F43/E43</f>
        <v>8.6585744737226092E-2</v>
      </c>
    </row>
    <row r="45" spans="1:7">
      <c r="A45" s="45" t="s">
        <v>376</v>
      </c>
    </row>
    <row r="46" spans="1:7" ht="43.5">
      <c r="A46" s="12" t="s">
        <v>301</v>
      </c>
      <c r="B46" s="12" t="s">
        <v>302</v>
      </c>
      <c r="C46" s="13" t="s">
        <v>370</v>
      </c>
      <c r="D46" s="16" t="s">
        <v>371</v>
      </c>
      <c r="E46" s="10" t="s">
        <v>377</v>
      </c>
      <c r="F46" s="10" t="s">
        <v>378</v>
      </c>
      <c r="G46" s="10" t="s">
        <v>372</v>
      </c>
    </row>
    <row r="47" spans="1:7">
      <c r="A47" s="2" t="s">
        <v>331</v>
      </c>
      <c r="B47" s="6">
        <f t="shared" ref="B47:B56" si="0">B33+B17</f>
        <v>197704.42104091437</v>
      </c>
      <c r="C47" s="6">
        <f>C33+C17</f>
        <v>0</v>
      </c>
      <c r="D47" s="6">
        <f>D33+D17</f>
        <v>197704.42104091437</v>
      </c>
      <c r="E47" s="6">
        <f>E33+E17</f>
        <v>49426.105260228593</v>
      </c>
      <c r="F47" s="6">
        <f>F33+F17</f>
        <v>-66895</v>
      </c>
      <c r="G47" s="4">
        <f>F47/E47</f>
        <v>-1.3534345797185034</v>
      </c>
    </row>
    <row r="48" spans="1:7">
      <c r="A48" s="2" t="s">
        <v>332</v>
      </c>
      <c r="B48" s="6">
        <f t="shared" si="0"/>
        <v>277438.82948684093</v>
      </c>
      <c r="C48" s="6">
        <f t="shared" ref="C48:F56" si="1">C34+C18</f>
        <v>73151.100623648294</v>
      </c>
      <c r="D48" s="6">
        <f t="shared" si="1"/>
        <v>350589.93011048925</v>
      </c>
      <c r="E48" s="6">
        <f t="shared" si="1"/>
        <v>87647.482527622313</v>
      </c>
      <c r="F48" s="6">
        <f t="shared" si="1"/>
        <v>137660.7629142857</v>
      </c>
      <c r="G48" s="4">
        <f t="shared" ref="G48:G59" si="2">F48/E48</f>
        <v>1.5706185613591535</v>
      </c>
    </row>
    <row r="49" spans="1:7">
      <c r="A49" s="2" t="s">
        <v>333</v>
      </c>
      <c r="B49" s="6">
        <f t="shared" si="0"/>
        <v>132700.58469590213</v>
      </c>
      <c r="C49" s="6">
        <f t="shared" si="1"/>
        <v>49243.062546692541</v>
      </c>
      <c r="D49" s="6">
        <f t="shared" si="1"/>
        <v>181943.64724259468</v>
      </c>
      <c r="E49" s="6">
        <f t="shared" si="1"/>
        <v>45485.911810648671</v>
      </c>
      <c r="F49" s="6">
        <f t="shared" si="1"/>
        <v>-7.999999999992724E-2</v>
      </c>
      <c r="G49" s="4">
        <f t="shared" si="2"/>
        <v>-1.7587863321934881E-6</v>
      </c>
    </row>
    <row r="50" spans="1:7">
      <c r="A50" s="14" t="s">
        <v>373</v>
      </c>
      <c r="B50" s="6">
        <f t="shared" si="0"/>
        <v>0</v>
      </c>
      <c r="C50" s="6">
        <f t="shared" si="1"/>
        <v>0</v>
      </c>
      <c r="D50" s="6">
        <f t="shared" si="1"/>
        <v>0</v>
      </c>
      <c r="E50" s="6">
        <f t="shared" si="1"/>
        <v>0</v>
      </c>
      <c r="F50" s="6">
        <f t="shared" si="1"/>
        <v>0</v>
      </c>
      <c r="G50" s="4" t="e">
        <f t="shared" si="2"/>
        <v>#DIV/0!</v>
      </c>
    </row>
    <row r="51" spans="1:7">
      <c r="A51" s="2" t="s">
        <v>334</v>
      </c>
      <c r="B51" s="6">
        <f t="shared" si="0"/>
        <v>230267.34300091502</v>
      </c>
      <c r="C51" s="6">
        <f t="shared" si="1"/>
        <v>0</v>
      </c>
      <c r="D51" s="6">
        <f t="shared" si="1"/>
        <v>230267.34300091502</v>
      </c>
      <c r="E51" s="6">
        <f t="shared" si="1"/>
        <v>57566.835750228754</v>
      </c>
      <c r="F51" s="6">
        <f t="shared" si="1"/>
        <v>148941.66180000006</v>
      </c>
      <c r="G51" s="4">
        <f t="shared" si="2"/>
        <v>2.5872824145872602</v>
      </c>
    </row>
    <row r="52" spans="1:7">
      <c r="A52" s="2" t="s">
        <v>335</v>
      </c>
      <c r="B52" s="6">
        <f t="shared" si="0"/>
        <v>99525.438521926582</v>
      </c>
      <c r="C52" s="6">
        <f t="shared" si="1"/>
        <v>0</v>
      </c>
      <c r="D52" s="6">
        <f t="shared" si="1"/>
        <v>99525.438521926582</v>
      </c>
      <c r="E52" s="6">
        <f t="shared" si="1"/>
        <v>24881.359630481646</v>
      </c>
      <c r="F52" s="6">
        <f t="shared" si="1"/>
        <v>12293.73603077</v>
      </c>
      <c r="G52" s="4">
        <f t="shared" si="2"/>
        <v>0.49409422207415044</v>
      </c>
    </row>
    <row r="53" spans="1:7">
      <c r="A53" s="2" t="s">
        <v>336</v>
      </c>
      <c r="B53" s="6">
        <f t="shared" si="0"/>
        <v>16587.573086987766</v>
      </c>
      <c r="C53" s="6">
        <f t="shared" si="1"/>
        <v>0</v>
      </c>
      <c r="D53" s="6">
        <f t="shared" si="1"/>
        <v>16587.573086987766</v>
      </c>
      <c r="E53" s="6">
        <f t="shared" si="1"/>
        <v>4146.8932717469415</v>
      </c>
      <c r="F53" s="6">
        <f t="shared" si="1"/>
        <v>6655</v>
      </c>
      <c r="G53" s="4">
        <f t="shared" si="2"/>
        <v>1.6048158377600301</v>
      </c>
    </row>
    <row r="54" spans="1:7">
      <c r="A54" s="2" t="s">
        <v>374</v>
      </c>
      <c r="B54" s="6">
        <f t="shared" si="0"/>
        <v>0</v>
      </c>
      <c r="C54" s="6">
        <f t="shared" si="1"/>
        <v>0</v>
      </c>
      <c r="D54" s="6">
        <f t="shared" si="1"/>
        <v>0</v>
      </c>
      <c r="E54" s="6">
        <f t="shared" si="1"/>
        <v>0</v>
      </c>
      <c r="F54" s="6">
        <f t="shared" si="1"/>
        <v>0</v>
      </c>
      <c r="G54" s="4" t="e">
        <f t="shared" si="2"/>
        <v>#DIV/0!</v>
      </c>
    </row>
    <row r="55" spans="1:7">
      <c r="A55" s="2" t="s">
        <v>337</v>
      </c>
      <c r="B55" s="6">
        <f t="shared" si="0"/>
        <v>16587.573086987766</v>
      </c>
      <c r="C55" s="6">
        <f t="shared" si="1"/>
        <v>0</v>
      </c>
      <c r="D55" s="6">
        <f t="shared" si="1"/>
        <v>16587.573086987766</v>
      </c>
      <c r="E55" s="6">
        <f t="shared" si="1"/>
        <v>4146.8932717469415</v>
      </c>
      <c r="F55" s="6">
        <f t="shared" si="1"/>
        <v>0</v>
      </c>
      <c r="G55" s="4">
        <f t="shared" si="2"/>
        <v>0</v>
      </c>
    </row>
    <row r="56" spans="1:7">
      <c r="A56" s="2" t="s">
        <v>338</v>
      </c>
      <c r="B56" s="6">
        <f t="shared" si="0"/>
        <v>372634.89993274299</v>
      </c>
      <c r="C56" s="6">
        <f t="shared" si="1"/>
        <v>34346.578894482598</v>
      </c>
      <c r="D56" s="6">
        <f t="shared" si="1"/>
        <v>406981.47882722563</v>
      </c>
      <c r="E56" s="6">
        <f t="shared" si="1"/>
        <v>101745.36970680641</v>
      </c>
      <c r="F56" s="6">
        <f t="shared" si="1"/>
        <v>0</v>
      </c>
      <c r="G56" s="4">
        <f t="shared" si="2"/>
        <v>0</v>
      </c>
    </row>
    <row r="57" spans="1:7">
      <c r="A57" s="2" t="s">
        <v>339</v>
      </c>
      <c r="B57" s="36">
        <f t="shared" ref="B57:F58" si="3">B27</f>
        <v>52333.487045662507</v>
      </c>
      <c r="C57" s="36">
        <f t="shared" si="3"/>
        <v>0</v>
      </c>
      <c r="D57" s="36">
        <f t="shared" si="3"/>
        <v>52333.487045662507</v>
      </c>
      <c r="E57" s="36">
        <f t="shared" si="3"/>
        <v>13083.371761415627</v>
      </c>
      <c r="F57" s="36">
        <f t="shared" si="3"/>
        <v>4107</v>
      </c>
      <c r="G57" s="4">
        <f t="shared" si="2"/>
        <v>0.31390990601612478</v>
      </c>
    </row>
    <row r="58" spans="1:7">
      <c r="A58" s="2" t="s">
        <v>340</v>
      </c>
      <c r="B58" s="36">
        <f t="shared" si="3"/>
        <v>167467.15854612002</v>
      </c>
      <c r="C58" s="36">
        <f t="shared" si="3"/>
        <v>70130.878678211651</v>
      </c>
      <c r="D58" s="36">
        <f t="shared" si="3"/>
        <v>237598.03722433167</v>
      </c>
      <c r="E58" s="36">
        <f t="shared" si="3"/>
        <v>59399.509306082917</v>
      </c>
      <c r="F58" s="36">
        <f t="shared" si="3"/>
        <v>79756.296741053695</v>
      </c>
      <c r="G58" s="4">
        <f t="shared" si="2"/>
        <v>1.3427096902446314</v>
      </c>
    </row>
    <row r="59" spans="1:7">
      <c r="A59" s="46" t="s">
        <v>379</v>
      </c>
      <c r="B59" s="36">
        <f>SUM(B47:B58)</f>
        <v>1563247.3084449999</v>
      </c>
      <c r="C59" s="36">
        <f>SUM(C47:C58)</f>
        <v>226871.62074303508</v>
      </c>
      <c r="D59" s="36">
        <f>SUM(D47:D58)</f>
        <v>1790118.9291880352</v>
      </c>
      <c r="E59" s="36">
        <f>SUM(E47:E58)</f>
        <v>447529.7322970088</v>
      </c>
      <c r="F59" s="36">
        <f>SUM(F47:F58)</f>
        <v>322519.37748610944</v>
      </c>
      <c r="G59" s="4">
        <f t="shared" si="2"/>
        <v>0.7206658110305515</v>
      </c>
    </row>
    <row r="62" spans="1:7">
      <c r="A62" s="44" t="s">
        <v>343</v>
      </c>
      <c r="B62" s="47">
        <f>B17+B23+B25+B26+B27+B33+B42</f>
        <v>655847.95419329545</v>
      </c>
      <c r="C62" s="47">
        <f>C17+C23+C25+C26+C27+C33+C42</f>
        <v>34346.578894482598</v>
      </c>
      <c r="D62" s="47">
        <f>D17+D23+D25+D26+D27+D33+D42</f>
        <v>690194.53308777802</v>
      </c>
      <c r="E62" s="47">
        <f>E17+E23+E25+E26+E27+E33+E42</f>
        <v>172548.63327194451</v>
      </c>
      <c r="F62" s="47">
        <f>F17+F23+F25+F26+F27+F33+F42</f>
        <v>-56133</v>
      </c>
      <c r="G62" s="4">
        <f>F62/E62</f>
        <v>-0.32531697838215756</v>
      </c>
    </row>
    <row r="63" spans="1:7">
      <c r="A63" s="44" t="s">
        <v>344</v>
      </c>
      <c r="B63" s="47">
        <f>B19+B21+B22+B28</f>
        <v>629960.52476486377</v>
      </c>
      <c r="C63" s="47">
        <f>C19+C21+C22+C28</f>
        <v>119373.94122490419</v>
      </c>
      <c r="D63" s="47">
        <f>D19+D21+D22+D28</f>
        <v>749334.46598976792</v>
      </c>
      <c r="E63" s="47">
        <f>E19+E21+E22+E28</f>
        <v>187333.61649744198</v>
      </c>
      <c r="F63" s="47">
        <f>F19+F21+F22+F28</f>
        <v>240991.61457182377</v>
      </c>
      <c r="G63" s="4">
        <f>F63/E63</f>
        <v>1.2864301617489697</v>
      </c>
    </row>
    <row r="64" spans="1:7">
      <c r="A64" s="44" t="s">
        <v>345</v>
      </c>
      <c r="B64" s="47">
        <f>B18+B34</f>
        <v>277438.82948684093</v>
      </c>
      <c r="C64" s="47">
        <f>C18+C34</f>
        <v>73151.100623648294</v>
      </c>
      <c r="D64" s="47">
        <f>D18+D34</f>
        <v>350589.93011048925</v>
      </c>
      <c r="E64" s="47">
        <f>E18+E34</f>
        <v>87647.482527622313</v>
      </c>
      <c r="F64" s="47">
        <f>F18+F34</f>
        <v>137660.7629142857</v>
      </c>
      <c r="G64" s="4">
        <f>F64/E64</f>
        <v>1.5706185613591535</v>
      </c>
    </row>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Y32"/>
  <sheetViews>
    <sheetView zoomScaleNormal="100" workbookViewId="0">
      <selection activeCell="F28" sqref="F28"/>
    </sheetView>
  </sheetViews>
  <sheetFormatPr defaultColWidth="15.85546875" defaultRowHeight="14.45"/>
  <cols>
    <col min="1" max="1" width="5" style="28" bestFit="1" customWidth="1"/>
    <col min="2" max="2" width="12.42578125" style="28" bestFit="1" customWidth="1"/>
    <col min="3" max="3" width="11.7109375" style="28" bestFit="1" customWidth="1"/>
    <col min="4" max="4" width="15" style="28" bestFit="1" customWidth="1"/>
    <col min="5" max="5" width="12.140625" style="28" bestFit="1" customWidth="1"/>
    <col min="6" max="6" width="12.28515625" style="28" bestFit="1" customWidth="1"/>
    <col min="7" max="7" width="12.85546875" style="28" bestFit="1" customWidth="1"/>
    <col min="8" max="8" width="10" style="28" bestFit="1" customWidth="1"/>
    <col min="9" max="9" width="9.28515625" style="28" bestFit="1" customWidth="1"/>
    <col min="10" max="10" width="11.85546875" style="28" bestFit="1" customWidth="1"/>
    <col min="11" max="11" width="12.5703125" style="28" bestFit="1" customWidth="1"/>
    <col min="12" max="12" width="16.140625" style="28" bestFit="1" customWidth="1"/>
    <col min="13" max="13" width="13.85546875" style="28" bestFit="1" customWidth="1"/>
    <col min="14" max="14" width="12.5703125" style="28" bestFit="1" customWidth="1"/>
    <col min="15" max="15" width="16.140625" style="28" bestFit="1" customWidth="1"/>
    <col min="16" max="16" width="13.85546875" style="28" bestFit="1" customWidth="1"/>
    <col min="17" max="17" width="12.5703125" style="28" bestFit="1" customWidth="1"/>
    <col min="18" max="18" width="16.140625" style="28" bestFit="1" customWidth="1"/>
    <col min="19" max="19" width="13.85546875" style="28" bestFit="1" customWidth="1"/>
    <col min="20" max="20" width="12.5703125" style="28" bestFit="1" customWidth="1"/>
    <col min="21" max="21" width="16.140625" style="28" bestFit="1" customWidth="1"/>
    <col min="22" max="22" width="13.85546875" style="28" bestFit="1" customWidth="1"/>
    <col min="23" max="23" width="12.5703125" style="28" bestFit="1" customWidth="1"/>
    <col min="24" max="24" width="16.140625" style="28" bestFit="1" customWidth="1"/>
    <col min="25" max="25" width="13.85546875" style="28" bestFit="1" customWidth="1"/>
    <col min="26" max="26" width="12.5703125" style="28" bestFit="1" customWidth="1"/>
    <col min="27" max="27" width="16.140625" style="28" bestFit="1" customWidth="1"/>
    <col min="28" max="28" width="13.85546875" style="28" bestFit="1" customWidth="1"/>
    <col min="29" max="29" width="12.5703125" style="28" bestFit="1" customWidth="1"/>
    <col min="30" max="30" width="16.140625" style="28" bestFit="1" customWidth="1"/>
    <col min="31" max="31" width="13.85546875" style="28" bestFit="1" customWidth="1"/>
    <col min="32" max="32" width="12.5703125" style="28" bestFit="1" customWidth="1"/>
    <col min="33" max="33" width="16.140625" style="28" bestFit="1" customWidth="1"/>
    <col min="34" max="34" width="13.85546875" style="28" bestFit="1" customWidth="1"/>
    <col min="35" max="35" width="12.5703125" style="28" bestFit="1" customWidth="1"/>
    <col min="36" max="36" width="16.140625" style="28" bestFit="1" customWidth="1"/>
    <col min="37" max="37" width="13.85546875" style="28" bestFit="1" customWidth="1"/>
    <col min="38" max="38" width="12.5703125" style="28" bestFit="1" customWidth="1"/>
    <col min="39" max="39" width="16.140625" style="28" bestFit="1" customWidth="1"/>
    <col min="40" max="40" width="13.85546875" style="28" bestFit="1" customWidth="1"/>
    <col min="41" max="41" width="12.5703125" style="28" bestFit="1" customWidth="1"/>
    <col min="42" max="42" width="16.140625" style="28" bestFit="1" customWidth="1"/>
    <col min="43" max="43" width="13.85546875" style="28" bestFit="1" customWidth="1"/>
    <col min="44" max="44" width="12.5703125" style="28" bestFit="1" customWidth="1"/>
    <col min="45" max="45" width="16.140625" style="28" bestFit="1" customWidth="1"/>
    <col min="46" max="46" width="13.85546875" style="28" bestFit="1" customWidth="1"/>
    <col min="47" max="47" width="15.5703125" style="28" customWidth="1"/>
    <col min="48" max="48" width="17.140625" style="28" customWidth="1"/>
    <col min="49" max="51" width="15.5703125" style="28" customWidth="1"/>
    <col min="52" max="16384" width="15.85546875" style="28"/>
  </cols>
  <sheetData>
    <row r="1" spans="1:51" s="22" customFormat="1" ht="29.1">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IF(L2=0,0,K2-L2)+IF(O2=0,0,N2-O2)+IF(R2=0,0,Q2-R2)+IF(U2=0,0,T2-U2)+IF(X2=0,0,W2-X2)+IF(AA2=0,0,Z2-AA2)+IF(AD2=0,0,AC2-AD2)+IF(AG2=0,0,AF2-AG2)+IF(AJ2=0,0,AI2-AJ2)+IF(AM2=0,0,AL2-AM2)+IF(AP2=0,0,AO2-AP2)+IF(AS2=0,0,AR2-AS2)</f>
        <v>0</v>
      </c>
      <c r="AY2" s="33" t="e">
        <f>AX2/J2</f>
        <v>#DIV/0!</v>
      </c>
    </row>
    <row r="3" spans="1:51">
      <c r="A3" s="23">
        <v>2</v>
      </c>
      <c r="B3" s="70"/>
      <c r="C3" s="70"/>
      <c r="D3" s="71"/>
      <c r="E3" s="71"/>
      <c r="F3" s="71"/>
      <c r="G3" s="71"/>
      <c r="H3" s="72"/>
      <c r="I3" s="72"/>
      <c r="J3" s="75"/>
      <c r="K3" s="20"/>
      <c r="L3" s="26"/>
      <c r="M3" s="33" t="e">
        <f t="shared" ref="M3:M23" si="0">(K3-L3)/K3+1</f>
        <v>#DIV/0!</v>
      </c>
      <c r="N3" s="20"/>
      <c r="O3" s="26"/>
      <c r="P3" s="33" t="e">
        <f t="shared" ref="P3:P23" si="1">(N3-O3)/N3+1</f>
        <v>#DIV/0!</v>
      </c>
      <c r="Q3" s="20"/>
      <c r="R3" s="26"/>
      <c r="S3" s="33" t="e">
        <f t="shared" ref="S3:S23" si="2">(Q3-R3)/Q3+1</f>
        <v>#DIV/0!</v>
      </c>
      <c r="T3" s="20"/>
      <c r="U3" s="26"/>
      <c r="V3" s="33" t="e">
        <f t="shared" ref="V3:V23" si="3">(T3-U3)/T3+1</f>
        <v>#DIV/0!</v>
      </c>
      <c r="W3" s="20"/>
      <c r="X3" s="26"/>
      <c r="Y3" s="33" t="e">
        <f t="shared" ref="Y3:Y23" si="4">(W3-X3)/W3+1</f>
        <v>#DIV/0!</v>
      </c>
      <c r="Z3" s="20"/>
      <c r="AA3" s="26"/>
      <c r="AB3" s="33" t="e">
        <f t="shared" ref="AB3:AB23" si="5">(Z3-AA3)/Z3+1</f>
        <v>#DIV/0!</v>
      </c>
      <c r="AC3" s="20"/>
      <c r="AD3" s="26"/>
      <c r="AE3" s="33" t="e">
        <f t="shared" ref="AE3:AE23" si="6">(AC3-AD3)/AC3+1</f>
        <v>#DIV/0!</v>
      </c>
      <c r="AF3" s="20"/>
      <c r="AG3" s="26"/>
      <c r="AH3" s="33" t="e">
        <f t="shared" ref="AH3:AH23" si="7">(AF3-AG3)/AF3+1</f>
        <v>#DIV/0!</v>
      </c>
      <c r="AI3" s="20"/>
      <c r="AJ3" s="26"/>
      <c r="AK3" s="33" t="e">
        <f t="shared" ref="AK3:AK23" si="8">(AI3-AJ3)/AI3+1</f>
        <v>#DIV/0!</v>
      </c>
      <c r="AL3" s="20"/>
      <c r="AM3" s="26"/>
      <c r="AN3" s="33" t="e">
        <f t="shared" ref="AN3:AN23" si="9">(AL3-AM3)/AL3+1</f>
        <v>#DIV/0!</v>
      </c>
      <c r="AO3" s="20"/>
      <c r="AP3" s="26"/>
      <c r="AQ3" s="33" t="e">
        <f t="shared" ref="AQ3:AQ23" si="10">(AO3-AP3)/AO3+1</f>
        <v>#DIV/0!</v>
      </c>
      <c r="AR3" s="20"/>
      <c r="AS3" s="26"/>
      <c r="AT3" s="33" t="e">
        <f t="shared" ref="AT3:AT23" si="11">(AR3-AS3)/AR3+1</f>
        <v>#DIV/0!</v>
      </c>
      <c r="AU3" s="32">
        <f t="shared" ref="AU3:AU23" si="12">K3+N3+Q3+T3+W3+Z3+AC3+AF3+AI3+AL3+AO3+AR3</f>
        <v>0</v>
      </c>
      <c r="AV3" s="32">
        <f t="shared" ref="AV3:AV23" si="13">AS3+AP3+AM3+AJ3+AG3+AD3+AA3+X3+U3+R3+O3+L3</f>
        <v>0</v>
      </c>
      <c r="AW3" s="33" t="e">
        <f t="shared" ref="AW3:AW23" si="14">(AU3-AV3)/AU3+1</f>
        <v>#DIV/0!</v>
      </c>
      <c r="AX3" s="32">
        <f t="shared" ref="AX3:AX23" si="15">IF(L3=0,0,K3-L3)+IF(O3=0,0,N3-O3)+IF(R3=0,0,Q3-R3)+IF(U3=0,0,T3-U3)+IF(X3=0,0,W3-X3)+IF(AA3=0,0,Z3-AA3)+IF(AD3=0,0,AC3-AD3)+IF(AG3=0,0,AF3-AG3)+IF(AJ3=0,0,AI3-AJ3)+IF(AM3=0,0,AL3-AM3)+IF(AP3=0,0,AO3-AP3)+IF(AS3=0,0,AR3-AS3)</f>
        <v>0</v>
      </c>
      <c r="AY3" s="33" t="e">
        <f t="shared" ref="AY3:AY23" si="16">AX3/J3</f>
        <v>#DIV/0!</v>
      </c>
    </row>
    <row r="4" spans="1:51">
      <c r="A4" s="23">
        <v>3</v>
      </c>
      <c r="B4" s="70"/>
      <c r="C4" s="70"/>
      <c r="D4" s="71"/>
      <c r="E4" s="71"/>
      <c r="F4" s="71"/>
      <c r="G4" s="71"/>
      <c r="H4" s="72"/>
      <c r="I4" s="72"/>
      <c r="J4" s="75"/>
      <c r="K4" s="20"/>
      <c r="L4" s="26"/>
      <c r="M4" s="33" t="e">
        <f t="shared" si="0"/>
        <v>#DIV/0!</v>
      </c>
      <c r="N4" s="20"/>
      <c r="O4" s="26"/>
      <c r="P4" s="33" t="e">
        <f t="shared" si="1"/>
        <v>#DIV/0!</v>
      </c>
      <c r="Q4" s="20"/>
      <c r="R4" s="26"/>
      <c r="S4" s="33" t="e">
        <f t="shared" si="2"/>
        <v>#DIV/0!</v>
      </c>
      <c r="T4" s="20"/>
      <c r="U4" s="26"/>
      <c r="V4" s="33" t="e">
        <f t="shared" si="3"/>
        <v>#DIV/0!</v>
      </c>
      <c r="W4" s="20"/>
      <c r="X4" s="26"/>
      <c r="Y4" s="33" t="e">
        <f t="shared" si="4"/>
        <v>#DIV/0!</v>
      </c>
      <c r="Z4" s="20"/>
      <c r="AA4" s="26"/>
      <c r="AB4" s="33" t="e">
        <f t="shared" si="5"/>
        <v>#DIV/0!</v>
      </c>
      <c r="AC4" s="20"/>
      <c r="AD4" s="26"/>
      <c r="AE4" s="33" t="e">
        <f t="shared" si="6"/>
        <v>#DIV/0!</v>
      </c>
      <c r="AF4" s="20"/>
      <c r="AG4" s="26"/>
      <c r="AH4" s="33" t="e">
        <f t="shared" si="7"/>
        <v>#DIV/0!</v>
      </c>
      <c r="AI4" s="20"/>
      <c r="AJ4" s="26"/>
      <c r="AK4" s="33" t="e">
        <f t="shared" si="8"/>
        <v>#DIV/0!</v>
      </c>
      <c r="AL4" s="20"/>
      <c r="AM4" s="26"/>
      <c r="AN4" s="33" t="e">
        <f t="shared" si="9"/>
        <v>#DIV/0!</v>
      </c>
      <c r="AO4" s="20"/>
      <c r="AP4" s="26"/>
      <c r="AQ4" s="33" t="e">
        <f t="shared" si="10"/>
        <v>#DIV/0!</v>
      </c>
      <c r="AR4" s="20"/>
      <c r="AS4" s="26"/>
      <c r="AT4" s="33" t="e">
        <f t="shared" si="11"/>
        <v>#DIV/0!</v>
      </c>
      <c r="AU4" s="32">
        <f t="shared" si="12"/>
        <v>0</v>
      </c>
      <c r="AV4" s="32">
        <f t="shared" si="13"/>
        <v>0</v>
      </c>
      <c r="AW4" s="33" t="e">
        <f t="shared" si="14"/>
        <v>#DIV/0!</v>
      </c>
      <c r="AX4" s="32">
        <f t="shared" si="15"/>
        <v>0</v>
      </c>
      <c r="AY4" s="33" t="e">
        <f t="shared" si="16"/>
        <v>#DIV/0!</v>
      </c>
    </row>
    <row r="5" spans="1:51">
      <c r="A5" s="23">
        <v>4</v>
      </c>
      <c r="B5" s="76"/>
      <c r="C5" s="76"/>
      <c r="D5" s="77"/>
      <c r="E5" s="78"/>
      <c r="F5" s="77"/>
      <c r="G5" s="77"/>
      <c r="H5" s="79"/>
      <c r="I5" s="79"/>
      <c r="J5" s="75"/>
      <c r="K5" s="20"/>
      <c r="L5" s="26"/>
      <c r="M5" s="33" t="e">
        <f t="shared" si="0"/>
        <v>#DIV/0!</v>
      </c>
      <c r="N5" s="20"/>
      <c r="O5" s="26"/>
      <c r="P5" s="33" t="e">
        <f t="shared" si="1"/>
        <v>#DIV/0!</v>
      </c>
      <c r="Q5" s="20"/>
      <c r="R5" s="26"/>
      <c r="S5" s="33" t="e">
        <f t="shared" si="2"/>
        <v>#DIV/0!</v>
      </c>
      <c r="T5" s="20"/>
      <c r="U5" s="26"/>
      <c r="V5" s="33" t="e">
        <f t="shared" si="3"/>
        <v>#DIV/0!</v>
      </c>
      <c r="W5" s="20"/>
      <c r="X5" s="26"/>
      <c r="Y5" s="33" t="e">
        <f t="shared" si="4"/>
        <v>#DIV/0!</v>
      </c>
      <c r="Z5" s="20"/>
      <c r="AA5" s="26"/>
      <c r="AB5" s="33" t="e">
        <f t="shared" si="5"/>
        <v>#DIV/0!</v>
      </c>
      <c r="AC5" s="20"/>
      <c r="AD5" s="26"/>
      <c r="AE5" s="33" t="e">
        <f t="shared" si="6"/>
        <v>#DIV/0!</v>
      </c>
      <c r="AF5" s="20"/>
      <c r="AG5" s="26"/>
      <c r="AH5" s="33" t="e">
        <f t="shared" si="7"/>
        <v>#DIV/0!</v>
      </c>
      <c r="AI5" s="20"/>
      <c r="AJ5" s="26"/>
      <c r="AK5" s="33" t="e">
        <f t="shared" si="8"/>
        <v>#DIV/0!</v>
      </c>
      <c r="AL5" s="20"/>
      <c r="AM5" s="26"/>
      <c r="AN5" s="33" t="e">
        <f t="shared" si="9"/>
        <v>#DIV/0!</v>
      </c>
      <c r="AO5" s="20"/>
      <c r="AP5" s="26"/>
      <c r="AQ5" s="33" t="e">
        <f t="shared" si="10"/>
        <v>#DIV/0!</v>
      </c>
      <c r="AR5" s="20"/>
      <c r="AS5" s="26"/>
      <c r="AT5" s="33" t="e">
        <f t="shared" si="11"/>
        <v>#DIV/0!</v>
      </c>
      <c r="AU5" s="32">
        <f t="shared" si="12"/>
        <v>0</v>
      </c>
      <c r="AV5" s="32">
        <f t="shared" si="13"/>
        <v>0</v>
      </c>
      <c r="AW5" s="33" t="e">
        <f t="shared" si="14"/>
        <v>#DIV/0!</v>
      </c>
      <c r="AX5" s="32">
        <f t="shared" si="15"/>
        <v>0</v>
      </c>
      <c r="AY5" s="33" t="e">
        <f t="shared" si="16"/>
        <v>#DIV/0!</v>
      </c>
    </row>
    <row r="6" spans="1:51">
      <c r="A6" s="23">
        <v>5</v>
      </c>
      <c r="B6" s="76"/>
      <c r="C6" s="76"/>
      <c r="D6" s="77"/>
      <c r="E6" s="78"/>
      <c r="F6" s="77"/>
      <c r="G6" s="77"/>
      <c r="H6" s="79"/>
      <c r="I6" s="79"/>
      <c r="J6" s="75"/>
      <c r="K6" s="20"/>
      <c r="L6" s="26"/>
      <c r="M6" s="33" t="e">
        <f t="shared" si="0"/>
        <v>#DIV/0!</v>
      </c>
      <c r="N6" s="20"/>
      <c r="O6" s="26"/>
      <c r="P6" s="33" t="e">
        <f t="shared" si="1"/>
        <v>#DIV/0!</v>
      </c>
      <c r="Q6" s="20"/>
      <c r="R6" s="26"/>
      <c r="S6" s="33" t="e">
        <f t="shared" si="2"/>
        <v>#DIV/0!</v>
      </c>
      <c r="T6" s="20"/>
      <c r="U6" s="26"/>
      <c r="V6" s="33" t="e">
        <f t="shared" si="3"/>
        <v>#DIV/0!</v>
      </c>
      <c r="W6" s="20"/>
      <c r="X6" s="26"/>
      <c r="Y6" s="33" t="e">
        <f t="shared" si="4"/>
        <v>#DIV/0!</v>
      </c>
      <c r="Z6" s="20"/>
      <c r="AA6" s="26"/>
      <c r="AB6" s="33" t="e">
        <f t="shared" si="5"/>
        <v>#DIV/0!</v>
      </c>
      <c r="AC6" s="20"/>
      <c r="AD6" s="26"/>
      <c r="AE6" s="33" t="e">
        <f t="shared" si="6"/>
        <v>#DIV/0!</v>
      </c>
      <c r="AF6" s="20"/>
      <c r="AG6" s="26"/>
      <c r="AH6" s="33" t="e">
        <f t="shared" si="7"/>
        <v>#DIV/0!</v>
      </c>
      <c r="AI6" s="20"/>
      <c r="AJ6" s="26"/>
      <c r="AK6" s="33" t="e">
        <f t="shared" si="8"/>
        <v>#DIV/0!</v>
      </c>
      <c r="AL6" s="20"/>
      <c r="AM6" s="26"/>
      <c r="AN6" s="33" t="e">
        <f t="shared" si="9"/>
        <v>#DIV/0!</v>
      </c>
      <c r="AO6" s="20"/>
      <c r="AP6" s="26"/>
      <c r="AQ6" s="33" t="e">
        <f t="shared" si="10"/>
        <v>#DIV/0!</v>
      </c>
      <c r="AR6" s="20"/>
      <c r="AS6" s="26"/>
      <c r="AT6" s="33" t="e">
        <f t="shared" si="11"/>
        <v>#DIV/0!</v>
      </c>
      <c r="AU6" s="32">
        <f t="shared" si="12"/>
        <v>0</v>
      </c>
      <c r="AV6" s="32">
        <f t="shared" si="13"/>
        <v>0</v>
      </c>
      <c r="AW6" s="33" t="e">
        <f t="shared" si="14"/>
        <v>#DIV/0!</v>
      </c>
      <c r="AX6" s="32">
        <f t="shared" si="15"/>
        <v>0</v>
      </c>
      <c r="AY6" s="33" t="e">
        <f t="shared" si="16"/>
        <v>#DIV/0!</v>
      </c>
    </row>
    <row r="7" spans="1:51">
      <c r="A7" s="23">
        <v>6</v>
      </c>
      <c r="B7" s="76"/>
      <c r="C7" s="76"/>
      <c r="D7" s="77"/>
      <c r="E7" s="78"/>
      <c r="F7" s="77"/>
      <c r="G7" s="77"/>
      <c r="H7" s="79"/>
      <c r="I7" s="79"/>
      <c r="J7" s="75"/>
      <c r="K7" s="20"/>
      <c r="L7" s="26"/>
      <c r="M7" s="33" t="e">
        <f t="shared" si="0"/>
        <v>#DIV/0!</v>
      </c>
      <c r="N7" s="20"/>
      <c r="O7" s="26"/>
      <c r="P7" s="33" t="e">
        <f t="shared" si="1"/>
        <v>#DIV/0!</v>
      </c>
      <c r="Q7" s="20"/>
      <c r="R7" s="26"/>
      <c r="S7" s="33" t="e">
        <f t="shared" si="2"/>
        <v>#DIV/0!</v>
      </c>
      <c r="T7" s="20"/>
      <c r="U7" s="26"/>
      <c r="V7" s="33" t="e">
        <f t="shared" si="3"/>
        <v>#DIV/0!</v>
      </c>
      <c r="W7" s="20"/>
      <c r="X7" s="26"/>
      <c r="Y7" s="33" t="e">
        <f t="shared" si="4"/>
        <v>#DIV/0!</v>
      </c>
      <c r="Z7" s="20"/>
      <c r="AA7" s="26"/>
      <c r="AB7" s="33" t="e">
        <f t="shared" si="5"/>
        <v>#DIV/0!</v>
      </c>
      <c r="AC7" s="20"/>
      <c r="AD7" s="26"/>
      <c r="AE7" s="33" t="e">
        <f t="shared" si="6"/>
        <v>#DIV/0!</v>
      </c>
      <c r="AF7" s="20"/>
      <c r="AG7" s="26"/>
      <c r="AH7" s="33" t="e">
        <f t="shared" si="7"/>
        <v>#DIV/0!</v>
      </c>
      <c r="AI7" s="20"/>
      <c r="AJ7" s="26"/>
      <c r="AK7" s="33" t="e">
        <f t="shared" si="8"/>
        <v>#DIV/0!</v>
      </c>
      <c r="AL7" s="20"/>
      <c r="AM7" s="26"/>
      <c r="AN7" s="33" t="e">
        <f t="shared" si="9"/>
        <v>#DIV/0!</v>
      </c>
      <c r="AO7" s="20"/>
      <c r="AP7" s="26"/>
      <c r="AQ7" s="33" t="e">
        <f t="shared" si="10"/>
        <v>#DIV/0!</v>
      </c>
      <c r="AR7" s="20"/>
      <c r="AS7" s="26"/>
      <c r="AT7" s="33" t="e">
        <f t="shared" si="11"/>
        <v>#DIV/0!</v>
      </c>
      <c r="AU7" s="32">
        <f t="shared" si="12"/>
        <v>0</v>
      </c>
      <c r="AV7" s="32">
        <f t="shared" si="13"/>
        <v>0</v>
      </c>
      <c r="AW7" s="33" t="e">
        <f t="shared" si="14"/>
        <v>#DIV/0!</v>
      </c>
      <c r="AX7" s="32">
        <f t="shared" si="15"/>
        <v>0</v>
      </c>
      <c r="AY7" s="33" t="e">
        <f t="shared" si="16"/>
        <v>#DIV/0!</v>
      </c>
    </row>
    <row r="8" spans="1:51">
      <c r="A8" s="23">
        <v>7</v>
      </c>
      <c r="B8" s="69"/>
      <c r="C8" s="69"/>
      <c r="D8" s="77"/>
      <c r="E8" s="77"/>
      <c r="F8" s="77"/>
      <c r="G8" s="77"/>
      <c r="H8" s="79"/>
      <c r="I8" s="79"/>
      <c r="J8" s="73"/>
      <c r="K8" s="20"/>
      <c r="L8" s="26"/>
      <c r="M8" s="33" t="e">
        <f t="shared" si="0"/>
        <v>#DIV/0!</v>
      </c>
      <c r="N8" s="20"/>
      <c r="O8" s="26"/>
      <c r="P8" s="33" t="e">
        <f t="shared" si="1"/>
        <v>#DIV/0!</v>
      </c>
      <c r="Q8" s="20"/>
      <c r="R8" s="26"/>
      <c r="S8" s="33" t="e">
        <f t="shared" si="2"/>
        <v>#DIV/0!</v>
      </c>
      <c r="T8" s="20"/>
      <c r="U8" s="26"/>
      <c r="V8" s="33" t="e">
        <f t="shared" si="3"/>
        <v>#DIV/0!</v>
      </c>
      <c r="W8" s="20"/>
      <c r="X8" s="26"/>
      <c r="Y8" s="33" t="e">
        <f t="shared" si="4"/>
        <v>#DIV/0!</v>
      </c>
      <c r="Z8" s="20"/>
      <c r="AA8" s="26"/>
      <c r="AB8" s="33" t="e">
        <f t="shared" si="5"/>
        <v>#DIV/0!</v>
      </c>
      <c r="AC8" s="20"/>
      <c r="AD8" s="26"/>
      <c r="AE8" s="33" t="e">
        <f t="shared" si="6"/>
        <v>#DIV/0!</v>
      </c>
      <c r="AF8" s="20"/>
      <c r="AG8" s="26"/>
      <c r="AH8" s="33" t="e">
        <f t="shared" si="7"/>
        <v>#DIV/0!</v>
      </c>
      <c r="AI8" s="20"/>
      <c r="AJ8" s="26"/>
      <c r="AK8" s="33" t="e">
        <f t="shared" si="8"/>
        <v>#DIV/0!</v>
      </c>
      <c r="AL8" s="20"/>
      <c r="AM8" s="26"/>
      <c r="AN8" s="33" t="e">
        <f t="shared" si="9"/>
        <v>#DIV/0!</v>
      </c>
      <c r="AO8" s="20"/>
      <c r="AP8" s="26"/>
      <c r="AQ8" s="33" t="e">
        <f t="shared" si="10"/>
        <v>#DIV/0!</v>
      </c>
      <c r="AR8" s="20"/>
      <c r="AS8" s="26"/>
      <c r="AT8" s="33" t="e">
        <f t="shared" si="11"/>
        <v>#DIV/0!</v>
      </c>
      <c r="AU8" s="32">
        <f t="shared" si="12"/>
        <v>0</v>
      </c>
      <c r="AV8" s="32">
        <f t="shared" si="13"/>
        <v>0</v>
      </c>
      <c r="AW8" s="33" t="e">
        <f t="shared" si="14"/>
        <v>#DIV/0!</v>
      </c>
      <c r="AX8" s="32">
        <f t="shared" si="15"/>
        <v>0</v>
      </c>
      <c r="AY8" s="33" t="e">
        <f t="shared" si="16"/>
        <v>#DIV/0!</v>
      </c>
    </row>
    <row r="9" spans="1:51">
      <c r="A9" s="23">
        <v>8</v>
      </c>
      <c r="B9" s="69"/>
      <c r="C9" s="69"/>
      <c r="D9" s="77"/>
      <c r="E9" s="77"/>
      <c r="F9" s="77"/>
      <c r="G9" s="77"/>
      <c r="H9" s="79"/>
      <c r="I9" s="79"/>
      <c r="J9" s="73"/>
      <c r="K9" s="20"/>
      <c r="L9" s="26"/>
      <c r="M9" s="33" t="e">
        <f t="shared" si="0"/>
        <v>#DIV/0!</v>
      </c>
      <c r="N9" s="20"/>
      <c r="O9" s="26"/>
      <c r="P9" s="33" t="e">
        <f t="shared" si="1"/>
        <v>#DIV/0!</v>
      </c>
      <c r="Q9" s="20"/>
      <c r="R9" s="26"/>
      <c r="S9" s="33" t="e">
        <f t="shared" si="2"/>
        <v>#DIV/0!</v>
      </c>
      <c r="T9" s="20"/>
      <c r="U9" s="26"/>
      <c r="V9" s="33" t="e">
        <f t="shared" si="3"/>
        <v>#DIV/0!</v>
      </c>
      <c r="W9" s="20"/>
      <c r="X9" s="26"/>
      <c r="Y9" s="33" t="e">
        <f t="shared" si="4"/>
        <v>#DIV/0!</v>
      </c>
      <c r="Z9" s="20"/>
      <c r="AA9" s="26"/>
      <c r="AB9" s="33" t="e">
        <f t="shared" si="5"/>
        <v>#DIV/0!</v>
      </c>
      <c r="AC9" s="20"/>
      <c r="AD9" s="26"/>
      <c r="AE9" s="33" t="e">
        <f t="shared" si="6"/>
        <v>#DIV/0!</v>
      </c>
      <c r="AF9" s="20"/>
      <c r="AG9" s="26"/>
      <c r="AH9" s="33" t="e">
        <f t="shared" si="7"/>
        <v>#DIV/0!</v>
      </c>
      <c r="AI9" s="20"/>
      <c r="AJ9" s="26"/>
      <c r="AK9" s="33" t="e">
        <f t="shared" si="8"/>
        <v>#DIV/0!</v>
      </c>
      <c r="AL9" s="20"/>
      <c r="AM9" s="26"/>
      <c r="AN9" s="33" t="e">
        <f t="shared" si="9"/>
        <v>#DIV/0!</v>
      </c>
      <c r="AO9" s="20"/>
      <c r="AP9" s="26"/>
      <c r="AQ9" s="33" t="e">
        <f t="shared" si="10"/>
        <v>#DIV/0!</v>
      </c>
      <c r="AR9" s="20"/>
      <c r="AS9" s="26"/>
      <c r="AT9" s="33" t="e">
        <f t="shared" si="11"/>
        <v>#DIV/0!</v>
      </c>
      <c r="AU9" s="32">
        <f t="shared" si="12"/>
        <v>0</v>
      </c>
      <c r="AV9" s="32">
        <f t="shared" si="13"/>
        <v>0</v>
      </c>
      <c r="AW9" s="33" t="e">
        <f t="shared" si="14"/>
        <v>#DIV/0!</v>
      </c>
      <c r="AX9" s="32">
        <f t="shared" si="15"/>
        <v>0</v>
      </c>
      <c r="AY9" s="33" t="e">
        <f t="shared" si="16"/>
        <v>#DIV/0!</v>
      </c>
    </row>
    <row r="10" spans="1:51">
      <c r="A10" s="23">
        <v>9</v>
      </c>
      <c r="B10" s="69"/>
      <c r="C10" s="69"/>
      <c r="D10" s="77"/>
      <c r="E10" s="77"/>
      <c r="F10" s="77"/>
      <c r="G10" s="77"/>
      <c r="H10" s="79"/>
      <c r="I10" s="79"/>
      <c r="J10" s="73"/>
      <c r="K10" s="20"/>
      <c r="L10" s="26"/>
      <c r="M10" s="33" t="e">
        <f t="shared" si="0"/>
        <v>#DIV/0!</v>
      </c>
      <c r="N10" s="20"/>
      <c r="O10" s="26"/>
      <c r="P10" s="33" t="e">
        <f t="shared" si="1"/>
        <v>#DIV/0!</v>
      </c>
      <c r="Q10" s="20"/>
      <c r="R10" s="26"/>
      <c r="S10" s="33" t="e">
        <f t="shared" si="2"/>
        <v>#DIV/0!</v>
      </c>
      <c r="T10" s="20"/>
      <c r="U10" s="26"/>
      <c r="V10" s="33" t="e">
        <f t="shared" si="3"/>
        <v>#DIV/0!</v>
      </c>
      <c r="W10" s="20"/>
      <c r="X10" s="26"/>
      <c r="Y10" s="33" t="e">
        <f t="shared" si="4"/>
        <v>#DIV/0!</v>
      </c>
      <c r="Z10" s="20"/>
      <c r="AA10" s="26"/>
      <c r="AB10" s="33" t="e">
        <f t="shared" si="5"/>
        <v>#DIV/0!</v>
      </c>
      <c r="AC10" s="20"/>
      <c r="AD10" s="26"/>
      <c r="AE10" s="33" t="e">
        <f t="shared" si="6"/>
        <v>#DIV/0!</v>
      </c>
      <c r="AF10" s="20"/>
      <c r="AG10" s="26"/>
      <c r="AH10" s="33" t="e">
        <f t="shared" si="7"/>
        <v>#DIV/0!</v>
      </c>
      <c r="AI10" s="20"/>
      <c r="AJ10" s="26"/>
      <c r="AK10" s="33" t="e">
        <f t="shared" si="8"/>
        <v>#DIV/0!</v>
      </c>
      <c r="AL10" s="20"/>
      <c r="AM10" s="26"/>
      <c r="AN10" s="33" t="e">
        <f t="shared" si="9"/>
        <v>#DIV/0!</v>
      </c>
      <c r="AO10" s="20"/>
      <c r="AP10" s="26"/>
      <c r="AQ10" s="33" t="e">
        <f t="shared" si="10"/>
        <v>#DIV/0!</v>
      </c>
      <c r="AR10" s="20"/>
      <c r="AS10" s="26"/>
      <c r="AT10" s="33" t="e">
        <f t="shared" si="11"/>
        <v>#DIV/0!</v>
      </c>
      <c r="AU10" s="32">
        <f t="shared" si="12"/>
        <v>0</v>
      </c>
      <c r="AV10" s="32">
        <f t="shared" si="13"/>
        <v>0</v>
      </c>
      <c r="AW10" s="33" t="e">
        <f t="shared" si="14"/>
        <v>#DIV/0!</v>
      </c>
      <c r="AX10" s="32">
        <f t="shared" si="15"/>
        <v>0</v>
      </c>
      <c r="AY10" s="33" t="e">
        <f t="shared" si="16"/>
        <v>#DIV/0!</v>
      </c>
    </row>
    <row r="11" spans="1:51">
      <c r="A11" s="23">
        <v>10</v>
      </c>
      <c r="B11" s="69"/>
      <c r="C11" s="69"/>
      <c r="D11" s="77"/>
      <c r="E11" s="77"/>
      <c r="F11" s="77"/>
      <c r="G11" s="77"/>
      <c r="H11" s="79"/>
      <c r="I11" s="79"/>
      <c r="J11" s="73"/>
      <c r="K11" s="20"/>
      <c r="L11" s="26"/>
      <c r="M11" s="33" t="e">
        <f t="shared" si="0"/>
        <v>#DIV/0!</v>
      </c>
      <c r="N11" s="20"/>
      <c r="O11" s="26"/>
      <c r="P11" s="33" t="e">
        <f t="shared" si="1"/>
        <v>#DIV/0!</v>
      </c>
      <c r="Q11" s="20"/>
      <c r="R11" s="26"/>
      <c r="S11" s="33" t="e">
        <f t="shared" si="2"/>
        <v>#DIV/0!</v>
      </c>
      <c r="T11" s="20"/>
      <c r="U11" s="26"/>
      <c r="V11" s="33" t="e">
        <f t="shared" si="3"/>
        <v>#DIV/0!</v>
      </c>
      <c r="W11" s="20"/>
      <c r="X11" s="26"/>
      <c r="Y11" s="33" t="e">
        <f t="shared" si="4"/>
        <v>#DIV/0!</v>
      </c>
      <c r="Z11" s="20"/>
      <c r="AA11" s="26"/>
      <c r="AB11" s="33" t="e">
        <f t="shared" si="5"/>
        <v>#DIV/0!</v>
      </c>
      <c r="AC11" s="20"/>
      <c r="AD11" s="26"/>
      <c r="AE11" s="33" t="e">
        <f t="shared" si="6"/>
        <v>#DIV/0!</v>
      </c>
      <c r="AF11" s="20"/>
      <c r="AG11" s="26"/>
      <c r="AH11" s="33" t="e">
        <f t="shared" si="7"/>
        <v>#DIV/0!</v>
      </c>
      <c r="AI11" s="20"/>
      <c r="AJ11" s="26"/>
      <c r="AK11" s="33" t="e">
        <f t="shared" si="8"/>
        <v>#DIV/0!</v>
      </c>
      <c r="AL11" s="20"/>
      <c r="AM11" s="26"/>
      <c r="AN11" s="33" t="e">
        <f t="shared" si="9"/>
        <v>#DIV/0!</v>
      </c>
      <c r="AO11" s="20"/>
      <c r="AP11" s="26"/>
      <c r="AQ11" s="33" t="e">
        <f t="shared" si="10"/>
        <v>#DIV/0!</v>
      </c>
      <c r="AR11" s="20"/>
      <c r="AS11" s="26"/>
      <c r="AT11" s="33" t="e">
        <f t="shared" si="11"/>
        <v>#DIV/0!</v>
      </c>
      <c r="AU11" s="32">
        <f t="shared" si="12"/>
        <v>0</v>
      </c>
      <c r="AV11" s="32">
        <f t="shared" si="13"/>
        <v>0</v>
      </c>
      <c r="AW11" s="33" t="e">
        <f t="shared" si="14"/>
        <v>#DIV/0!</v>
      </c>
      <c r="AX11" s="32">
        <f t="shared" si="15"/>
        <v>0</v>
      </c>
      <c r="AY11" s="33" t="e">
        <f t="shared" si="16"/>
        <v>#DIV/0!</v>
      </c>
    </row>
    <row r="12" spans="1:51">
      <c r="A12" s="23">
        <v>11</v>
      </c>
      <c r="B12" s="70"/>
      <c r="C12" s="70"/>
      <c r="D12" s="71"/>
      <c r="E12" s="71"/>
      <c r="F12" s="71"/>
      <c r="G12" s="71"/>
      <c r="H12" s="72"/>
      <c r="I12" s="72"/>
      <c r="J12" s="73"/>
      <c r="K12" s="20"/>
      <c r="L12" s="26"/>
      <c r="M12" s="33" t="e">
        <f t="shared" si="0"/>
        <v>#DIV/0!</v>
      </c>
      <c r="N12" s="20"/>
      <c r="O12" s="26"/>
      <c r="P12" s="33" t="e">
        <f t="shared" si="1"/>
        <v>#DIV/0!</v>
      </c>
      <c r="Q12" s="20"/>
      <c r="R12" s="26"/>
      <c r="S12" s="33" t="e">
        <f t="shared" si="2"/>
        <v>#DIV/0!</v>
      </c>
      <c r="T12" s="20"/>
      <c r="U12" s="26"/>
      <c r="V12" s="33" t="e">
        <f t="shared" si="3"/>
        <v>#DIV/0!</v>
      </c>
      <c r="W12" s="20"/>
      <c r="X12" s="26"/>
      <c r="Y12" s="33" t="e">
        <f t="shared" si="4"/>
        <v>#DIV/0!</v>
      </c>
      <c r="Z12" s="20"/>
      <c r="AA12" s="26"/>
      <c r="AB12" s="33" t="e">
        <f t="shared" si="5"/>
        <v>#DIV/0!</v>
      </c>
      <c r="AC12" s="20"/>
      <c r="AD12" s="26"/>
      <c r="AE12" s="33" t="e">
        <f t="shared" si="6"/>
        <v>#DIV/0!</v>
      </c>
      <c r="AF12" s="20"/>
      <c r="AG12" s="26"/>
      <c r="AH12" s="33" t="e">
        <f t="shared" si="7"/>
        <v>#DIV/0!</v>
      </c>
      <c r="AI12" s="20"/>
      <c r="AJ12" s="26"/>
      <c r="AK12" s="33" t="e">
        <f t="shared" si="8"/>
        <v>#DIV/0!</v>
      </c>
      <c r="AL12" s="20"/>
      <c r="AM12" s="26"/>
      <c r="AN12" s="33" t="e">
        <f t="shared" si="9"/>
        <v>#DIV/0!</v>
      </c>
      <c r="AO12" s="20"/>
      <c r="AP12" s="26"/>
      <c r="AQ12" s="33" t="e">
        <f t="shared" si="10"/>
        <v>#DIV/0!</v>
      </c>
      <c r="AR12" s="20"/>
      <c r="AS12" s="26"/>
      <c r="AT12" s="33" t="e">
        <f t="shared" si="11"/>
        <v>#DIV/0!</v>
      </c>
      <c r="AU12" s="32">
        <f t="shared" si="12"/>
        <v>0</v>
      </c>
      <c r="AV12" s="32">
        <f t="shared" si="13"/>
        <v>0</v>
      </c>
      <c r="AW12" s="33" t="e">
        <f t="shared" si="14"/>
        <v>#DIV/0!</v>
      </c>
      <c r="AX12" s="32">
        <f t="shared" si="15"/>
        <v>0</v>
      </c>
      <c r="AY12" s="33" t="e">
        <f t="shared" si="16"/>
        <v>#DIV/0!</v>
      </c>
    </row>
    <row r="13" spans="1:51">
      <c r="A13" s="23">
        <v>12</v>
      </c>
      <c r="B13" s="69"/>
      <c r="C13" s="69"/>
      <c r="D13" s="71"/>
      <c r="E13" s="71"/>
      <c r="F13" s="71"/>
      <c r="G13" s="71"/>
      <c r="H13" s="72"/>
      <c r="I13" s="72"/>
      <c r="J13" s="73"/>
      <c r="K13" s="20"/>
      <c r="L13" s="26"/>
      <c r="M13" s="33" t="e">
        <f t="shared" si="0"/>
        <v>#DIV/0!</v>
      </c>
      <c r="N13" s="20"/>
      <c r="O13" s="26"/>
      <c r="P13" s="33" t="e">
        <f t="shared" si="1"/>
        <v>#DIV/0!</v>
      </c>
      <c r="Q13" s="20"/>
      <c r="R13" s="26"/>
      <c r="S13" s="33" t="e">
        <f t="shared" si="2"/>
        <v>#DIV/0!</v>
      </c>
      <c r="T13" s="20"/>
      <c r="U13" s="26"/>
      <c r="V13" s="33" t="e">
        <f t="shared" si="3"/>
        <v>#DIV/0!</v>
      </c>
      <c r="W13" s="20"/>
      <c r="X13" s="26"/>
      <c r="Y13" s="33" t="e">
        <f t="shared" si="4"/>
        <v>#DIV/0!</v>
      </c>
      <c r="Z13" s="20"/>
      <c r="AA13" s="26"/>
      <c r="AB13" s="33" t="e">
        <f t="shared" si="5"/>
        <v>#DIV/0!</v>
      </c>
      <c r="AC13" s="20"/>
      <c r="AD13" s="26"/>
      <c r="AE13" s="33" t="e">
        <f t="shared" si="6"/>
        <v>#DIV/0!</v>
      </c>
      <c r="AF13" s="20"/>
      <c r="AG13" s="26"/>
      <c r="AH13" s="33" t="e">
        <f t="shared" si="7"/>
        <v>#DIV/0!</v>
      </c>
      <c r="AI13" s="20"/>
      <c r="AJ13" s="26"/>
      <c r="AK13" s="33" t="e">
        <f t="shared" si="8"/>
        <v>#DIV/0!</v>
      </c>
      <c r="AL13" s="20"/>
      <c r="AM13" s="26"/>
      <c r="AN13" s="33" t="e">
        <f t="shared" si="9"/>
        <v>#DIV/0!</v>
      </c>
      <c r="AO13" s="20"/>
      <c r="AP13" s="26"/>
      <c r="AQ13" s="33" t="e">
        <f t="shared" si="10"/>
        <v>#DIV/0!</v>
      </c>
      <c r="AR13" s="20"/>
      <c r="AS13" s="26"/>
      <c r="AT13" s="33" t="e">
        <f t="shared" si="11"/>
        <v>#DIV/0!</v>
      </c>
      <c r="AU13" s="32">
        <f t="shared" si="12"/>
        <v>0</v>
      </c>
      <c r="AV13" s="32">
        <f t="shared" si="13"/>
        <v>0</v>
      </c>
      <c r="AW13" s="33" t="e">
        <f t="shared" si="14"/>
        <v>#DIV/0!</v>
      </c>
      <c r="AX13" s="32">
        <f t="shared" si="15"/>
        <v>0</v>
      </c>
      <c r="AY13" s="33" t="e">
        <f t="shared" si="16"/>
        <v>#DIV/0!</v>
      </c>
    </row>
    <row r="14" spans="1:51">
      <c r="A14" s="23">
        <v>13</v>
      </c>
      <c r="B14" s="69"/>
      <c r="C14" s="69"/>
      <c r="D14" s="71"/>
      <c r="E14" s="71"/>
      <c r="F14" s="71"/>
      <c r="G14" s="71"/>
      <c r="H14" s="72"/>
      <c r="I14" s="72"/>
      <c r="J14" s="73"/>
      <c r="K14" s="20"/>
      <c r="L14" s="26"/>
      <c r="M14" s="33" t="e">
        <f t="shared" si="0"/>
        <v>#DIV/0!</v>
      </c>
      <c r="N14" s="20"/>
      <c r="O14" s="26"/>
      <c r="P14" s="33" t="e">
        <f t="shared" si="1"/>
        <v>#DIV/0!</v>
      </c>
      <c r="Q14" s="20"/>
      <c r="R14" s="26"/>
      <c r="S14" s="33" t="e">
        <f t="shared" si="2"/>
        <v>#DIV/0!</v>
      </c>
      <c r="T14" s="20"/>
      <c r="U14" s="26"/>
      <c r="V14" s="33" t="e">
        <f t="shared" si="3"/>
        <v>#DIV/0!</v>
      </c>
      <c r="W14" s="20"/>
      <c r="X14" s="26"/>
      <c r="Y14" s="33" t="e">
        <f t="shared" si="4"/>
        <v>#DIV/0!</v>
      </c>
      <c r="Z14" s="20"/>
      <c r="AA14" s="26"/>
      <c r="AB14" s="33" t="e">
        <f t="shared" si="5"/>
        <v>#DIV/0!</v>
      </c>
      <c r="AC14" s="20"/>
      <c r="AD14" s="26"/>
      <c r="AE14" s="33" t="e">
        <f t="shared" si="6"/>
        <v>#DIV/0!</v>
      </c>
      <c r="AF14" s="20"/>
      <c r="AG14" s="26"/>
      <c r="AH14" s="33" t="e">
        <f t="shared" si="7"/>
        <v>#DIV/0!</v>
      </c>
      <c r="AI14" s="20"/>
      <c r="AJ14" s="26"/>
      <c r="AK14" s="33" t="e">
        <f t="shared" si="8"/>
        <v>#DIV/0!</v>
      </c>
      <c r="AL14" s="20"/>
      <c r="AM14" s="26"/>
      <c r="AN14" s="33" t="e">
        <f t="shared" si="9"/>
        <v>#DIV/0!</v>
      </c>
      <c r="AO14" s="20"/>
      <c r="AP14" s="26"/>
      <c r="AQ14" s="33" t="e">
        <f t="shared" si="10"/>
        <v>#DIV/0!</v>
      </c>
      <c r="AR14" s="20"/>
      <c r="AS14" s="26"/>
      <c r="AT14" s="33" t="e">
        <f t="shared" si="11"/>
        <v>#DIV/0!</v>
      </c>
      <c r="AU14" s="32">
        <f t="shared" si="12"/>
        <v>0</v>
      </c>
      <c r="AV14" s="32">
        <f t="shared" si="13"/>
        <v>0</v>
      </c>
      <c r="AW14" s="33" t="e">
        <f t="shared" si="14"/>
        <v>#DIV/0!</v>
      </c>
      <c r="AX14" s="32">
        <f t="shared" si="15"/>
        <v>0</v>
      </c>
      <c r="AY14" s="33" t="e">
        <f t="shared" si="16"/>
        <v>#DIV/0!</v>
      </c>
    </row>
    <row r="15" spans="1:51">
      <c r="A15" s="23">
        <v>14</v>
      </c>
      <c r="B15" s="24"/>
      <c r="C15" s="24"/>
      <c r="D15" s="23"/>
      <c r="E15" s="24"/>
      <c r="F15" s="23"/>
      <c r="G15" s="23"/>
      <c r="H15" s="25"/>
      <c r="I15" s="25"/>
      <c r="J15" s="20"/>
      <c r="K15" s="20"/>
      <c r="L15" s="26"/>
      <c r="M15" s="33" t="e">
        <f t="shared" si="0"/>
        <v>#DIV/0!</v>
      </c>
      <c r="N15" s="20"/>
      <c r="O15" s="26"/>
      <c r="P15" s="33" t="e">
        <f t="shared" si="1"/>
        <v>#DIV/0!</v>
      </c>
      <c r="Q15" s="20"/>
      <c r="R15" s="26"/>
      <c r="S15" s="33" t="e">
        <f t="shared" si="2"/>
        <v>#DIV/0!</v>
      </c>
      <c r="T15" s="20"/>
      <c r="U15" s="26"/>
      <c r="V15" s="33" t="e">
        <f t="shared" si="3"/>
        <v>#DIV/0!</v>
      </c>
      <c r="W15" s="20"/>
      <c r="X15" s="26"/>
      <c r="Y15" s="33" t="e">
        <f t="shared" si="4"/>
        <v>#DIV/0!</v>
      </c>
      <c r="Z15" s="20"/>
      <c r="AA15" s="26"/>
      <c r="AB15" s="33" t="e">
        <f t="shared" si="5"/>
        <v>#DIV/0!</v>
      </c>
      <c r="AC15" s="20"/>
      <c r="AD15" s="26"/>
      <c r="AE15" s="33" t="e">
        <f t="shared" si="6"/>
        <v>#DIV/0!</v>
      </c>
      <c r="AF15" s="20"/>
      <c r="AG15" s="26"/>
      <c r="AH15" s="33" t="e">
        <f t="shared" si="7"/>
        <v>#DIV/0!</v>
      </c>
      <c r="AI15" s="20"/>
      <c r="AJ15" s="26"/>
      <c r="AK15" s="33" t="e">
        <f t="shared" si="8"/>
        <v>#DIV/0!</v>
      </c>
      <c r="AL15" s="20"/>
      <c r="AM15" s="26"/>
      <c r="AN15" s="33" t="e">
        <f t="shared" si="9"/>
        <v>#DIV/0!</v>
      </c>
      <c r="AO15" s="20"/>
      <c r="AP15" s="26"/>
      <c r="AQ15" s="33" t="e">
        <f t="shared" si="10"/>
        <v>#DIV/0!</v>
      </c>
      <c r="AR15" s="20"/>
      <c r="AS15" s="26"/>
      <c r="AT15" s="33" t="e">
        <f t="shared" si="11"/>
        <v>#DIV/0!</v>
      </c>
      <c r="AU15" s="32">
        <f t="shared" si="12"/>
        <v>0</v>
      </c>
      <c r="AV15" s="32">
        <f t="shared" si="13"/>
        <v>0</v>
      </c>
      <c r="AW15" s="33" t="e">
        <f t="shared" si="14"/>
        <v>#DIV/0!</v>
      </c>
      <c r="AX15" s="32">
        <f t="shared" si="15"/>
        <v>0</v>
      </c>
      <c r="AY15" s="33" t="e">
        <f t="shared" si="16"/>
        <v>#DIV/0!</v>
      </c>
    </row>
    <row r="16" spans="1:51">
      <c r="A16" s="23">
        <v>15</v>
      </c>
      <c r="B16" s="24"/>
      <c r="C16" s="24"/>
      <c r="D16" s="23"/>
      <c r="E16" s="23"/>
      <c r="F16" s="23"/>
      <c r="G16" s="23"/>
      <c r="H16" s="25"/>
      <c r="I16" s="25"/>
      <c r="J16" s="20"/>
      <c r="K16" s="20"/>
      <c r="L16" s="26"/>
      <c r="M16" s="33" t="e">
        <f t="shared" si="0"/>
        <v>#DIV/0!</v>
      </c>
      <c r="N16" s="20"/>
      <c r="O16" s="26"/>
      <c r="P16" s="33" t="e">
        <f t="shared" si="1"/>
        <v>#DIV/0!</v>
      </c>
      <c r="Q16" s="20"/>
      <c r="R16" s="26"/>
      <c r="S16" s="33" t="e">
        <f t="shared" si="2"/>
        <v>#DIV/0!</v>
      </c>
      <c r="T16" s="20"/>
      <c r="U16" s="26"/>
      <c r="V16" s="33" t="e">
        <f t="shared" si="3"/>
        <v>#DIV/0!</v>
      </c>
      <c r="W16" s="20"/>
      <c r="X16" s="26"/>
      <c r="Y16" s="33" t="e">
        <f t="shared" si="4"/>
        <v>#DIV/0!</v>
      </c>
      <c r="Z16" s="20"/>
      <c r="AA16" s="26"/>
      <c r="AB16" s="33" t="e">
        <f t="shared" si="5"/>
        <v>#DIV/0!</v>
      </c>
      <c r="AC16" s="20"/>
      <c r="AD16" s="26"/>
      <c r="AE16" s="33" t="e">
        <f t="shared" si="6"/>
        <v>#DIV/0!</v>
      </c>
      <c r="AF16" s="20"/>
      <c r="AG16" s="26"/>
      <c r="AH16" s="33" t="e">
        <f t="shared" si="7"/>
        <v>#DIV/0!</v>
      </c>
      <c r="AI16" s="20"/>
      <c r="AJ16" s="26"/>
      <c r="AK16" s="33" t="e">
        <f t="shared" si="8"/>
        <v>#DIV/0!</v>
      </c>
      <c r="AL16" s="20"/>
      <c r="AM16" s="26"/>
      <c r="AN16" s="33" t="e">
        <f t="shared" si="9"/>
        <v>#DIV/0!</v>
      </c>
      <c r="AO16" s="20"/>
      <c r="AP16" s="26"/>
      <c r="AQ16" s="33" t="e">
        <f t="shared" si="10"/>
        <v>#DIV/0!</v>
      </c>
      <c r="AR16" s="20"/>
      <c r="AS16" s="26"/>
      <c r="AT16" s="33" t="e">
        <f t="shared" si="11"/>
        <v>#DIV/0!</v>
      </c>
      <c r="AU16" s="32">
        <f t="shared" si="12"/>
        <v>0</v>
      </c>
      <c r="AV16" s="32">
        <f t="shared" si="13"/>
        <v>0</v>
      </c>
      <c r="AW16" s="33" t="e">
        <f t="shared" si="14"/>
        <v>#DIV/0!</v>
      </c>
      <c r="AX16" s="32">
        <f t="shared" si="15"/>
        <v>0</v>
      </c>
      <c r="AY16" s="33" t="e">
        <f t="shared" si="16"/>
        <v>#DIV/0!</v>
      </c>
    </row>
    <row r="17" spans="1:51">
      <c r="A17" s="23">
        <v>16</v>
      </c>
      <c r="B17" s="24"/>
      <c r="C17" s="24"/>
      <c r="D17" s="23"/>
      <c r="E17" s="23"/>
      <c r="F17" s="23"/>
      <c r="G17" s="23"/>
      <c r="H17" s="25"/>
      <c r="I17" s="25"/>
      <c r="J17" s="20"/>
      <c r="K17" s="20"/>
      <c r="L17" s="26"/>
      <c r="M17" s="33" t="e">
        <f t="shared" si="0"/>
        <v>#DIV/0!</v>
      </c>
      <c r="N17" s="20"/>
      <c r="O17" s="26"/>
      <c r="P17" s="33" t="e">
        <f t="shared" si="1"/>
        <v>#DIV/0!</v>
      </c>
      <c r="Q17" s="20"/>
      <c r="R17" s="26"/>
      <c r="S17" s="33" t="e">
        <f t="shared" si="2"/>
        <v>#DIV/0!</v>
      </c>
      <c r="T17" s="20"/>
      <c r="U17" s="26"/>
      <c r="V17" s="33" t="e">
        <f t="shared" si="3"/>
        <v>#DIV/0!</v>
      </c>
      <c r="W17" s="20"/>
      <c r="X17" s="26"/>
      <c r="Y17" s="33" t="e">
        <f t="shared" si="4"/>
        <v>#DIV/0!</v>
      </c>
      <c r="Z17" s="20"/>
      <c r="AA17" s="26"/>
      <c r="AB17" s="33" t="e">
        <f t="shared" si="5"/>
        <v>#DIV/0!</v>
      </c>
      <c r="AC17" s="20"/>
      <c r="AD17" s="26"/>
      <c r="AE17" s="33" t="e">
        <f t="shared" si="6"/>
        <v>#DIV/0!</v>
      </c>
      <c r="AF17" s="20"/>
      <c r="AG17" s="26"/>
      <c r="AH17" s="33" t="e">
        <f t="shared" si="7"/>
        <v>#DIV/0!</v>
      </c>
      <c r="AI17" s="20"/>
      <c r="AJ17" s="26"/>
      <c r="AK17" s="33" t="e">
        <f t="shared" si="8"/>
        <v>#DIV/0!</v>
      </c>
      <c r="AL17" s="20"/>
      <c r="AM17" s="26"/>
      <c r="AN17" s="33" t="e">
        <f t="shared" si="9"/>
        <v>#DIV/0!</v>
      </c>
      <c r="AO17" s="20"/>
      <c r="AP17" s="26"/>
      <c r="AQ17" s="33" t="e">
        <f t="shared" si="10"/>
        <v>#DIV/0!</v>
      </c>
      <c r="AR17" s="20"/>
      <c r="AS17" s="26"/>
      <c r="AT17" s="33" t="e">
        <f t="shared" si="11"/>
        <v>#DIV/0!</v>
      </c>
      <c r="AU17" s="32">
        <f t="shared" si="12"/>
        <v>0</v>
      </c>
      <c r="AV17" s="32">
        <f t="shared" si="13"/>
        <v>0</v>
      </c>
      <c r="AW17" s="33" t="e">
        <f t="shared" si="14"/>
        <v>#DIV/0!</v>
      </c>
      <c r="AX17" s="32">
        <f t="shared" si="15"/>
        <v>0</v>
      </c>
      <c r="AY17" s="33" t="e">
        <f t="shared" si="16"/>
        <v>#DIV/0!</v>
      </c>
    </row>
    <row r="18" spans="1:51">
      <c r="A18" s="23">
        <v>17</v>
      </c>
      <c r="B18" s="24"/>
      <c r="C18" s="24"/>
      <c r="D18" s="23"/>
      <c r="E18" s="23"/>
      <c r="F18" s="23"/>
      <c r="G18" s="23"/>
      <c r="H18" s="25"/>
      <c r="I18" s="25"/>
      <c r="J18" s="20"/>
      <c r="K18" s="20"/>
      <c r="L18" s="26"/>
      <c r="M18" s="33" t="e">
        <f t="shared" si="0"/>
        <v>#DIV/0!</v>
      </c>
      <c r="N18" s="20"/>
      <c r="O18" s="26"/>
      <c r="P18" s="33" t="e">
        <f t="shared" si="1"/>
        <v>#DIV/0!</v>
      </c>
      <c r="Q18" s="20"/>
      <c r="R18" s="26"/>
      <c r="S18" s="33" t="e">
        <f t="shared" si="2"/>
        <v>#DIV/0!</v>
      </c>
      <c r="T18" s="20"/>
      <c r="U18" s="26"/>
      <c r="V18" s="33" t="e">
        <f t="shared" si="3"/>
        <v>#DIV/0!</v>
      </c>
      <c r="W18" s="20"/>
      <c r="X18" s="26"/>
      <c r="Y18" s="33" t="e">
        <f t="shared" si="4"/>
        <v>#DIV/0!</v>
      </c>
      <c r="Z18" s="20"/>
      <c r="AA18" s="26"/>
      <c r="AB18" s="33" t="e">
        <f t="shared" si="5"/>
        <v>#DIV/0!</v>
      </c>
      <c r="AC18" s="20"/>
      <c r="AD18" s="26"/>
      <c r="AE18" s="33" t="e">
        <f t="shared" si="6"/>
        <v>#DIV/0!</v>
      </c>
      <c r="AF18" s="20"/>
      <c r="AG18" s="26"/>
      <c r="AH18" s="33" t="e">
        <f t="shared" si="7"/>
        <v>#DIV/0!</v>
      </c>
      <c r="AI18" s="20"/>
      <c r="AJ18" s="26"/>
      <c r="AK18" s="33" t="e">
        <f t="shared" si="8"/>
        <v>#DIV/0!</v>
      </c>
      <c r="AL18" s="20"/>
      <c r="AM18" s="26"/>
      <c r="AN18" s="33" t="e">
        <f t="shared" si="9"/>
        <v>#DIV/0!</v>
      </c>
      <c r="AO18" s="20"/>
      <c r="AP18" s="26"/>
      <c r="AQ18" s="33" t="e">
        <f t="shared" si="10"/>
        <v>#DIV/0!</v>
      </c>
      <c r="AR18" s="20"/>
      <c r="AS18" s="26"/>
      <c r="AT18" s="33" t="e">
        <f t="shared" si="11"/>
        <v>#DIV/0!</v>
      </c>
      <c r="AU18" s="32">
        <f t="shared" si="12"/>
        <v>0</v>
      </c>
      <c r="AV18" s="32">
        <f t="shared" si="13"/>
        <v>0</v>
      </c>
      <c r="AW18" s="33" t="e">
        <f t="shared" si="14"/>
        <v>#DIV/0!</v>
      </c>
      <c r="AX18" s="32">
        <f t="shared" si="15"/>
        <v>0</v>
      </c>
      <c r="AY18" s="33" t="e">
        <f t="shared" si="16"/>
        <v>#DIV/0!</v>
      </c>
    </row>
    <row r="19" spans="1:51">
      <c r="A19" s="23">
        <v>18</v>
      </c>
      <c r="B19" s="24"/>
      <c r="C19" s="24"/>
      <c r="D19" s="23"/>
      <c r="E19" s="23"/>
      <c r="F19" s="23"/>
      <c r="G19" s="23"/>
      <c r="H19" s="25"/>
      <c r="I19" s="25"/>
      <c r="J19" s="20"/>
      <c r="K19" s="20"/>
      <c r="L19" s="26"/>
      <c r="M19" s="33" t="e">
        <f t="shared" si="0"/>
        <v>#DIV/0!</v>
      </c>
      <c r="N19" s="20"/>
      <c r="O19" s="26"/>
      <c r="P19" s="33" t="e">
        <f t="shared" si="1"/>
        <v>#DIV/0!</v>
      </c>
      <c r="Q19" s="20"/>
      <c r="R19" s="26"/>
      <c r="S19" s="33" t="e">
        <f t="shared" si="2"/>
        <v>#DIV/0!</v>
      </c>
      <c r="T19" s="20"/>
      <c r="U19" s="26"/>
      <c r="V19" s="33" t="e">
        <f t="shared" si="3"/>
        <v>#DIV/0!</v>
      </c>
      <c r="W19" s="20"/>
      <c r="X19" s="26"/>
      <c r="Y19" s="33" t="e">
        <f t="shared" si="4"/>
        <v>#DIV/0!</v>
      </c>
      <c r="Z19" s="20"/>
      <c r="AA19" s="26"/>
      <c r="AB19" s="33" t="e">
        <f t="shared" si="5"/>
        <v>#DIV/0!</v>
      </c>
      <c r="AC19" s="20"/>
      <c r="AD19" s="26"/>
      <c r="AE19" s="33" t="e">
        <f t="shared" si="6"/>
        <v>#DIV/0!</v>
      </c>
      <c r="AF19" s="20"/>
      <c r="AG19" s="26"/>
      <c r="AH19" s="33" t="e">
        <f t="shared" si="7"/>
        <v>#DIV/0!</v>
      </c>
      <c r="AI19" s="20"/>
      <c r="AJ19" s="26"/>
      <c r="AK19" s="33" t="e">
        <f t="shared" si="8"/>
        <v>#DIV/0!</v>
      </c>
      <c r="AL19" s="20"/>
      <c r="AM19" s="26"/>
      <c r="AN19" s="33" t="e">
        <f t="shared" si="9"/>
        <v>#DIV/0!</v>
      </c>
      <c r="AO19" s="20"/>
      <c r="AP19" s="26"/>
      <c r="AQ19" s="33" t="e">
        <f t="shared" si="10"/>
        <v>#DIV/0!</v>
      </c>
      <c r="AR19" s="20"/>
      <c r="AS19" s="26"/>
      <c r="AT19" s="33" t="e">
        <f t="shared" si="11"/>
        <v>#DIV/0!</v>
      </c>
      <c r="AU19" s="32">
        <f t="shared" si="12"/>
        <v>0</v>
      </c>
      <c r="AV19" s="32">
        <f t="shared" si="13"/>
        <v>0</v>
      </c>
      <c r="AW19" s="33" t="e">
        <f t="shared" si="14"/>
        <v>#DIV/0!</v>
      </c>
      <c r="AX19" s="32">
        <f t="shared" si="15"/>
        <v>0</v>
      </c>
      <c r="AY19" s="33" t="e">
        <f t="shared" si="16"/>
        <v>#DIV/0!</v>
      </c>
    </row>
    <row r="20" spans="1:51">
      <c r="A20" s="23">
        <v>19</v>
      </c>
      <c r="B20" s="24"/>
      <c r="C20" s="24"/>
      <c r="D20" s="23"/>
      <c r="E20" s="23"/>
      <c r="F20" s="23"/>
      <c r="G20" s="23"/>
      <c r="H20" s="72"/>
      <c r="I20" s="72"/>
      <c r="J20" s="20"/>
      <c r="K20" s="20"/>
      <c r="L20" s="26"/>
      <c r="M20" s="33" t="e">
        <f t="shared" si="0"/>
        <v>#DIV/0!</v>
      </c>
      <c r="N20" s="20"/>
      <c r="O20" s="26"/>
      <c r="P20" s="33" t="e">
        <f t="shared" si="1"/>
        <v>#DIV/0!</v>
      </c>
      <c r="Q20" s="20"/>
      <c r="R20" s="26"/>
      <c r="S20" s="33" t="e">
        <f t="shared" si="2"/>
        <v>#DIV/0!</v>
      </c>
      <c r="T20" s="20"/>
      <c r="U20" s="26"/>
      <c r="V20" s="33" t="e">
        <f t="shared" si="3"/>
        <v>#DIV/0!</v>
      </c>
      <c r="W20" s="20"/>
      <c r="X20" s="26"/>
      <c r="Y20" s="33" t="e">
        <f t="shared" si="4"/>
        <v>#DIV/0!</v>
      </c>
      <c r="Z20" s="20"/>
      <c r="AA20" s="26"/>
      <c r="AB20" s="33" t="e">
        <f t="shared" si="5"/>
        <v>#DIV/0!</v>
      </c>
      <c r="AC20" s="20"/>
      <c r="AD20" s="26"/>
      <c r="AE20" s="33" t="e">
        <f t="shared" si="6"/>
        <v>#DIV/0!</v>
      </c>
      <c r="AF20" s="20"/>
      <c r="AG20" s="26"/>
      <c r="AH20" s="33" t="e">
        <f t="shared" si="7"/>
        <v>#DIV/0!</v>
      </c>
      <c r="AI20" s="20"/>
      <c r="AJ20" s="26"/>
      <c r="AK20" s="33" t="e">
        <f t="shared" si="8"/>
        <v>#DIV/0!</v>
      </c>
      <c r="AL20" s="20"/>
      <c r="AM20" s="26"/>
      <c r="AN20" s="33" t="e">
        <f t="shared" si="9"/>
        <v>#DIV/0!</v>
      </c>
      <c r="AO20" s="20"/>
      <c r="AP20" s="26"/>
      <c r="AQ20" s="33" t="e">
        <f t="shared" si="10"/>
        <v>#DIV/0!</v>
      </c>
      <c r="AR20" s="20"/>
      <c r="AS20" s="26"/>
      <c r="AT20" s="33" t="e">
        <f t="shared" si="11"/>
        <v>#DIV/0!</v>
      </c>
      <c r="AU20" s="32">
        <f t="shared" si="12"/>
        <v>0</v>
      </c>
      <c r="AV20" s="32">
        <f t="shared" si="13"/>
        <v>0</v>
      </c>
      <c r="AW20" s="33" t="e">
        <f t="shared" si="14"/>
        <v>#DIV/0!</v>
      </c>
      <c r="AX20" s="32">
        <f t="shared" si="15"/>
        <v>0</v>
      </c>
      <c r="AY20" s="33" t="e">
        <f t="shared" si="16"/>
        <v>#DIV/0!</v>
      </c>
    </row>
    <row r="21" spans="1:51">
      <c r="A21" s="23">
        <v>20</v>
      </c>
      <c r="B21" s="24"/>
      <c r="C21" s="24"/>
      <c r="D21" s="23"/>
      <c r="E21" s="23"/>
      <c r="F21" s="23"/>
      <c r="G21" s="23"/>
      <c r="H21" s="72"/>
      <c r="I21" s="72"/>
      <c r="J21" s="20"/>
      <c r="K21" s="20"/>
      <c r="L21" s="26"/>
      <c r="M21" s="33" t="e">
        <f t="shared" si="0"/>
        <v>#DIV/0!</v>
      </c>
      <c r="N21" s="20"/>
      <c r="O21" s="26"/>
      <c r="P21" s="33" t="e">
        <f t="shared" si="1"/>
        <v>#DIV/0!</v>
      </c>
      <c r="Q21" s="20"/>
      <c r="R21" s="26"/>
      <c r="S21" s="33" t="e">
        <f t="shared" si="2"/>
        <v>#DIV/0!</v>
      </c>
      <c r="T21" s="20"/>
      <c r="U21" s="26"/>
      <c r="V21" s="33" t="e">
        <f t="shared" si="3"/>
        <v>#DIV/0!</v>
      </c>
      <c r="W21" s="20"/>
      <c r="X21" s="26"/>
      <c r="Y21" s="33" t="e">
        <f t="shared" si="4"/>
        <v>#DIV/0!</v>
      </c>
      <c r="Z21" s="20"/>
      <c r="AA21" s="26"/>
      <c r="AB21" s="33" t="e">
        <f t="shared" si="5"/>
        <v>#DIV/0!</v>
      </c>
      <c r="AC21" s="20"/>
      <c r="AD21" s="26"/>
      <c r="AE21" s="33" t="e">
        <f t="shared" si="6"/>
        <v>#DIV/0!</v>
      </c>
      <c r="AF21" s="20"/>
      <c r="AG21" s="26"/>
      <c r="AH21" s="33" t="e">
        <f t="shared" si="7"/>
        <v>#DIV/0!</v>
      </c>
      <c r="AI21" s="20"/>
      <c r="AJ21" s="26"/>
      <c r="AK21" s="33" t="e">
        <f t="shared" si="8"/>
        <v>#DIV/0!</v>
      </c>
      <c r="AL21" s="20"/>
      <c r="AM21" s="26"/>
      <c r="AN21" s="33" t="e">
        <f t="shared" si="9"/>
        <v>#DIV/0!</v>
      </c>
      <c r="AO21" s="20"/>
      <c r="AP21" s="26"/>
      <c r="AQ21" s="33" t="e">
        <f t="shared" si="10"/>
        <v>#DIV/0!</v>
      </c>
      <c r="AR21" s="20"/>
      <c r="AS21" s="26"/>
      <c r="AT21" s="33" t="e">
        <f t="shared" si="11"/>
        <v>#DIV/0!</v>
      </c>
      <c r="AU21" s="32">
        <f t="shared" si="12"/>
        <v>0</v>
      </c>
      <c r="AV21" s="32">
        <f t="shared" si="13"/>
        <v>0</v>
      </c>
      <c r="AW21" s="33" t="e">
        <f t="shared" si="14"/>
        <v>#DIV/0!</v>
      </c>
      <c r="AX21" s="32">
        <f t="shared" si="15"/>
        <v>0</v>
      </c>
      <c r="AY21" s="33" t="e">
        <f t="shared" si="16"/>
        <v>#DIV/0!</v>
      </c>
    </row>
    <row r="22" spans="1:51">
      <c r="A22" s="23"/>
      <c r="B22" s="24"/>
      <c r="C22" s="24"/>
      <c r="D22" s="23"/>
      <c r="E22" s="23"/>
      <c r="F22" s="23"/>
      <c r="G22" s="23"/>
      <c r="H22" s="25"/>
      <c r="I22" s="25"/>
      <c r="J22" s="20"/>
      <c r="K22" s="20"/>
      <c r="L22" s="26"/>
      <c r="M22" s="33" t="e">
        <f t="shared" si="0"/>
        <v>#DIV/0!</v>
      </c>
      <c r="N22" s="20"/>
      <c r="O22" s="26"/>
      <c r="P22" s="33" t="e">
        <f t="shared" si="1"/>
        <v>#DIV/0!</v>
      </c>
      <c r="Q22" s="20"/>
      <c r="R22" s="26"/>
      <c r="S22" s="33" t="e">
        <f t="shared" si="2"/>
        <v>#DIV/0!</v>
      </c>
      <c r="T22" s="20"/>
      <c r="U22" s="26"/>
      <c r="V22" s="33" t="e">
        <f t="shared" si="3"/>
        <v>#DIV/0!</v>
      </c>
      <c r="W22" s="20"/>
      <c r="X22" s="26"/>
      <c r="Y22" s="33" t="e">
        <f t="shared" si="4"/>
        <v>#DIV/0!</v>
      </c>
      <c r="Z22" s="20"/>
      <c r="AA22" s="26"/>
      <c r="AB22" s="33" t="e">
        <f t="shared" si="5"/>
        <v>#DIV/0!</v>
      </c>
      <c r="AC22" s="20"/>
      <c r="AD22" s="26"/>
      <c r="AE22" s="33" t="e">
        <f t="shared" si="6"/>
        <v>#DIV/0!</v>
      </c>
      <c r="AF22" s="20"/>
      <c r="AG22" s="26"/>
      <c r="AH22" s="33" t="e">
        <f t="shared" si="7"/>
        <v>#DIV/0!</v>
      </c>
      <c r="AI22" s="20"/>
      <c r="AJ22" s="26"/>
      <c r="AK22" s="33" t="e">
        <f t="shared" si="8"/>
        <v>#DIV/0!</v>
      </c>
      <c r="AL22" s="20"/>
      <c r="AM22" s="26"/>
      <c r="AN22" s="33" t="e">
        <f t="shared" si="9"/>
        <v>#DIV/0!</v>
      </c>
      <c r="AO22" s="20"/>
      <c r="AP22" s="26"/>
      <c r="AQ22" s="33" t="e">
        <f t="shared" si="10"/>
        <v>#DIV/0!</v>
      </c>
      <c r="AR22" s="20"/>
      <c r="AS22" s="26"/>
      <c r="AT22" s="33" t="e">
        <f t="shared" si="11"/>
        <v>#DIV/0!</v>
      </c>
      <c r="AU22" s="32">
        <f t="shared" si="12"/>
        <v>0</v>
      </c>
      <c r="AV22" s="32">
        <f t="shared" si="13"/>
        <v>0</v>
      </c>
      <c r="AW22" s="33" t="e">
        <f t="shared" si="14"/>
        <v>#DIV/0!</v>
      </c>
      <c r="AX22" s="32">
        <f t="shared" si="15"/>
        <v>0</v>
      </c>
      <c r="AY22" s="33" t="e">
        <f t="shared" si="16"/>
        <v>#DIV/0!</v>
      </c>
    </row>
    <row r="23" spans="1:51">
      <c r="A23" s="23"/>
      <c r="B23" s="24"/>
      <c r="C23" s="24"/>
      <c r="D23" s="23"/>
      <c r="E23" s="23"/>
      <c r="F23" s="23"/>
      <c r="G23" s="23"/>
      <c r="H23" s="25"/>
      <c r="I23" s="25"/>
      <c r="J23" s="20"/>
      <c r="K23" s="20"/>
      <c r="L23" s="26"/>
      <c r="M23" s="33" t="e">
        <f t="shared" si="0"/>
        <v>#DIV/0!</v>
      </c>
      <c r="N23" s="20"/>
      <c r="O23" s="26"/>
      <c r="P23" s="33" t="e">
        <f t="shared" si="1"/>
        <v>#DIV/0!</v>
      </c>
      <c r="Q23" s="20"/>
      <c r="R23" s="26"/>
      <c r="S23" s="33" t="e">
        <f t="shared" si="2"/>
        <v>#DIV/0!</v>
      </c>
      <c r="T23" s="20"/>
      <c r="U23" s="26"/>
      <c r="V23" s="33" t="e">
        <f t="shared" si="3"/>
        <v>#DIV/0!</v>
      </c>
      <c r="W23" s="20"/>
      <c r="X23" s="26"/>
      <c r="Y23" s="33" t="e">
        <f t="shared" si="4"/>
        <v>#DIV/0!</v>
      </c>
      <c r="Z23" s="20"/>
      <c r="AA23" s="26"/>
      <c r="AB23" s="33" t="e">
        <f t="shared" si="5"/>
        <v>#DIV/0!</v>
      </c>
      <c r="AC23" s="20"/>
      <c r="AD23" s="26"/>
      <c r="AE23" s="33" t="e">
        <f t="shared" si="6"/>
        <v>#DIV/0!</v>
      </c>
      <c r="AF23" s="20"/>
      <c r="AG23" s="26"/>
      <c r="AH23" s="33" t="e">
        <f t="shared" si="7"/>
        <v>#DIV/0!</v>
      </c>
      <c r="AI23" s="20"/>
      <c r="AJ23" s="26"/>
      <c r="AK23" s="33" t="e">
        <f t="shared" si="8"/>
        <v>#DIV/0!</v>
      </c>
      <c r="AL23" s="20"/>
      <c r="AM23" s="26"/>
      <c r="AN23" s="33" t="e">
        <f t="shared" si="9"/>
        <v>#DIV/0!</v>
      </c>
      <c r="AO23" s="20"/>
      <c r="AP23" s="26"/>
      <c r="AQ23" s="33" t="e">
        <f t="shared" si="10"/>
        <v>#DIV/0!</v>
      </c>
      <c r="AR23" s="20"/>
      <c r="AS23" s="26"/>
      <c r="AT23" s="33" t="e">
        <f t="shared" si="11"/>
        <v>#DIV/0!</v>
      </c>
      <c r="AU23" s="32">
        <f t="shared" si="12"/>
        <v>0</v>
      </c>
      <c r="AV23" s="32">
        <f t="shared" si="13"/>
        <v>0</v>
      </c>
      <c r="AW23" s="33" t="e">
        <f t="shared" si="14"/>
        <v>#DIV/0!</v>
      </c>
      <c r="AX23" s="32">
        <f t="shared" si="15"/>
        <v>0</v>
      </c>
      <c r="AY23" s="33" t="e">
        <f t="shared" si="16"/>
        <v>#DIV/0!</v>
      </c>
    </row>
    <row r="24" spans="1:51">
      <c r="B24" s="29" t="s">
        <v>77</v>
      </c>
      <c r="I24" s="29" t="s">
        <v>77</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c r="N25" s="52"/>
      <c r="AG25" s="52">
        <f>AF12-AG12</f>
        <v>0</v>
      </c>
      <c r="AJ25" s="52">
        <f>AI12-AJ12</f>
        <v>0</v>
      </c>
    </row>
    <row r="26" spans="1:51">
      <c r="Q26" s="52"/>
    </row>
    <row r="28" spans="1:51">
      <c r="T28" s="52"/>
    </row>
    <row r="29" spans="1:51">
      <c r="T29" s="52"/>
    </row>
    <row r="30" spans="1:51">
      <c r="T30" s="52"/>
    </row>
    <row r="31" spans="1:51">
      <c r="T31" s="52"/>
    </row>
    <row r="32" spans="1:51">
      <c r="T32" s="52"/>
    </row>
  </sheetData>
  <phoneticPr fontId="10"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Y27"/>
  <sheetViews>
    <sheetView zoomScaleNormal="100" workbookViewId="0">
      <selection activeCell="B28" sqref="B28"/>
    </sheetView>
  </sheetViews>
  <sheetFormatPr defaultColWidth="8.85546875" defaultRowHeight="14.4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3.5">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c r="B24" s="29" t="s">
        <v>77</v>
      </c>
      <c r="I24" s="29" t="s">
        <v>77</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7.100000000000001">
      <c r="J27" s="31"/>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Y24"/>
  <sheetViews>
    <sheetView zoomScaleNormal="100" workbookViewId="0">
      <selection activeCell="B29" sqref="B29"/>
    </sheetView>
  </sheetViews>
  <sheetFormatPr defaultColWidth="8.85546875" defaultRowHeight="14.4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3.5">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c r="B24" s="29" t="s">
        <v>77</v>
      </c>
      <c r="I24" s="29" t="s">
        <v>77</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SUM(T2:T23)-T5</f>
        <v>0</v>
      </c>
      <c r="U24" s="20">
        <f>SUM(U2:U23)-U5</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sheetData>
  <phoneticPr fontId="10" type="noConversion"/>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Y38"/>
  <sheetViews>
    <sheetView zoomScaleNormal="100" workbookViewId="0">
      <selection activeCell="B29" sqref="B29"/>
    </sheetView>
  </sheetViews>
  <sheetFormatPr defaultColWidth="8.85546875" defaultRowHeight="14.4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3.5">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c r="B24" s="29" t="s">
        <v>77</v>
      </c>
      <c r="I24" s="29" t="s">
        <v>77</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c r="AJ24" s="20"/>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6" spans="1:51">
      <c r="AG26" s="52"/>
    </row>
    <row r="27" spans="1:51" s="30" customFormat="1" ht="17.100000000000001">
      <c r="J27" s="31"/>
      <c r="AG27" s="52"/>
    </row>
    <row r="28" spans="1:51">
      <c r="AG28" s="52"/>
    </row>
    <row r="29" spans="1:51">
      <c r="AG29" s="52"/>
    </row>
    <row r="30" spans="1:51">
      <c r="AG30" s="52"/>
    </row>
    <row r="31" spans="1:51">
      <c r="AG31" s="52"/>
    </row>
    <row r="32" spans="1:51">
      <c r="AG32" s="52"/>
    </row>
    <row r="33" spans="33:33">
      <c r="AG33" s="52"/>
    </row>
    <row r="34" spans="33:33">
      <c r="AG34" s="52"/>
    </row>
    <row r="35" spans="33:33">
      <c r="AG35" s="52"/>
    </row>
    <row r="36" spans="33:33">
      <c r="AG36" s="52"/>
    </row>
    <row r="37" spans="33:33">
      <c r="AG37" s="52"/>
    </row>
    <row r="38" spans="33:33">
      <c r="AG38" s="52"/>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Y33"/>
  <sheetViews>
    <sheetView zoomScaleNormal="100" workbookViewId="0">
      <selection activeCell="E30" sqref="E30"/>
    </sheetView>
  </sheetViews>
  <sheetFormatPr defaultColWidth="9.140625" defaultRowHeight="14.45"/>
  <cols>
    <col min="1" max="1" width="4.85546875"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1.7109375" style="28" bestFit="1" customWidth="1"/>
    <col min="51" max="51" width="13.28515625" style="28" bestFit="1" customWidth="1"/>
    <col min="52" max="16384" width="9.140625" style="28"/>
  </cols>
  <sheetData>
    <row r="1" spans="1:51" s="22" customFormat="1" ht="43.5">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c r="B24" s="29" t="s">
        <v>77</v>
      </c>
      <c r="I24" s="29" t="s">
        <v>77</v>
      </c>
      <c r="J24" s="20">
        <f>SUM(J2:J23)</f>
        <v>0</v>
      </c>
      <c r="K24" s="20">
        <f>SUM(K2:K23)</f>
        <v>0</v>
      </c>
      <c r="L24" s="20">
        <f>SUM(L2:L23)</f>
        <v>0</v>
      </c>
      <c r="M24" s="33" t="e">
        <f>(K24-L24)/K24+1</f>
        <v>#DIV/0!</v>
      </c>
      <c r="N24" s="20">
        <f>SUM(N2:N23)</f>
        <v>0</v>
      </c>
      <c r="O24" s="20">
        <f>SUM(O2:O23)</f>
        <v>0</v>
      </c>
      <c r="P24" s="27"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c r="AG25" s="52"/>
    </row>
    <row r="26" spans="1:51">
      <c r="AG26" s="52"/>
    </row>
    <row r="28" spans="1:51">
      <c r="T28" s="62"/>
      <c r="X28" s="52"/>
      <c r="AD28" s="52"/>
      <c r="AG28" s="62"/>
    </row>
    <row r="29" spans="1:51">
      <c r="T29" s="62"/>
      <c r="Z29" s="52"/>
    </row>
    <row r="30" spans="1:51">
      <c r="T30" s="62"/>
    </row>
    <row r="31" spans="1:51">
      <c r="T31" s="62"/>
    </row>
    <row r="32" spans="1:51">
      <c r="T32" s="62"/>
    </row>
    <row r="33" spans="20:20">
      <c r="T33" s="62"/>
    </row>
  </sheetData>
  <phoneticPr fontId="10" type="noConversion"/>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Y27"/>
  <sheetViews>
    <sheetView zoomScaleNormal="100" workbookViewId="0">
      <selection activeCell="B27" sqref="B27"/>
    </sheetView>
  </sheetViews>
  <sheetFormatPr defaultColWidth="9.140625" defaultRowHeight="14.4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9.140625" style="28"/>
  </cols>
  <sheetData>
    <row r="1" spans="1:51" s="22" customFormat="1" ht="43.5">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c r="B24" s="29" t="s">
        <v>77</v>
      </c>
      <c r="I24" s="29" t="s">
        <v>77</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7.100000000000001">
      <c r="J27" s="31"/>
    </row>
  </sheetData>
  <phoneticPr fontId="10" type="noConversion"/>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Y27"/>
  <sheetViews>
    <sheetView zoomScaleNormal="100" workbookViewId="0">
      <selection activeCell="C30" sqref="C30"/>
    </sheetView>
  </sheetViews>
  <sheetFormatPr defaultColWidth="9.140625" defaultRowHeight="14.4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9.140625" style="28"/>
  </cols>
  <sheetData>
    <row r="1" spans="1:51" s="22" customFormat="1" ht="43.5">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c r="B24" s="29" t="s">
        <v>77</v>
      </c>
      <c r="I24" s="29" t="s">
        <v>77</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7.100000000000001">
      <c r="J27" s="31"/>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tint="-4.9989318521683403E-2"/>
  </sheetPr>
  <dimension ref="A1:AY25"/>
  <sheetViews>
    <sheetView zoomScaleNormal="100" workbookViewId="0">
      <selection activeCell="H29" sqref="H29"/>
    </sheetView>
  </sheetViews>
  <sheetFormatPr defaultColWidth="15.85546875" defaultRowHeight="14.45"/>
  <cols>
    <col min="1" max="1" width="3" style="28" bestFit="1" customWidth="1"/>
    <col min="2" max="2" width="12" style="28" bestFit="1" customWidth="1"/>
    <col min="3" max="3" width="11.140625" style="28" bestFit="1" customWidth="1"/>
    <col min="4" max="4" width="14.85546875" style="28" bestFit="1" customWidth="1"/>
    <col min="5" max="5" width="12" style="28" bestFit="1" customWidth="1"/>
    <col min="6" max="6" width="11.85546875" style="28" bestFit="1" customWidth="1"/>
    <col min="7" max="7" width="12.5703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2.85546875" style="28" bestFit="1" customWidth="1"/>
    <col min="51" max="51" width="13.28515625" style="28" bestFit="1" customWidth="1"/>
    <col min="52" max="16384" width="15.85546875" style="28"/>
  </cols>
  <sheetData>
    <row r="1" spans="1:51" s="22" customFormat="1" ht="29.1">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s="74" customFormat="1">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c r="B24" s="29" t="s">
        <v>77</v>
      </c>
      <c r="I24" s="29" t="s">
        <v>77</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c r="AG25" s="52">
        <f>AF5-AG5</f>
        <v>0</v>
      </c>
    </row>
  </sheetData>
  <phoneticPr fontId="10"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Y27"/>
  <sheetViews>
    <sheetView topLeftCell="AH1" zoomScaleNormal="100" workbookViewId="0">
      <selection activeCell="AW29" sqref="AW29"/>
    </sheetView>
  </sheetViews>
  <sheetFormatPr defaultColWidth="9.140625" defaultRowHeight="14.45"/>
  <cols>
    <col min="1" max="1" width="3.28515625"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42578125" style="28" bestFit="1" customWidth="1"/>
    <col min="14" max="14" width="12.42578125" style="28" bestFit="1" customWidth="1"/>
    <col min="15" max="15" width="15.7109375" style="28" bestFit="1" customWidth="1"/>
    <col min="16" max="16" width="13.42578125" style="28" bestFit="1" customWidth="1"/>
    <col min="17" max="17" width="12.42578125" style="28" bestFit="1" customWidth="1"/>
    <col min="18" max="18" width="15.7109375" style="28" bestFit="1" customWidth="1"/>
    <col min="19" max="19" width="13.42578125" style="28" bestFit="1" customWidth="1"/>
    <col min="20" max="20" width="12.42578125" style="28" bestFit="1" customWidth="1"/>
    <col min="21" max="21" width="15.7109375" style="28" bestFit="1" customWidth="1"/>
    <col min="22" max="22" width="13.42578125" style="28" bestFit="1" customWidth="1"/>
    <col min="23" max="23" width="12.42578125" style="28" bestFit="1" customWidth="1"/>
    <col min="24" max="24" width="15.7109375" style="28" bestFit="1" customWidth="1"/>
    <col min="25" max="25" width="13.42578125" style="28" bestFit="1" customWidth="1"/>
    <col min="26" max="26" width="12.42578125" style="28" bestFit="1" customWidth="1"/>
    <col min="27" max="27" width="15.7109375" style="28" bestFit="1" customWidth="1"/>
    <col min="28" max="28" width="13.42578125" style="28" bestFit="1" customWidth="1"/>
    <col min="29" max="29" width="12.42578125" style="28" bestFit="1" customWidth="1"/>
    <col min="30" max="30" width="15.7109375" style="28" bestFit="1" customWidth="1"/>
    <col min="31" max="31" width="13.42578125" style="28" bestFit="1" customWidth="1"/>
    <col min="32" max="32" width="12.42578125" style="28" bestFit="1" customWidth="1"/>
    <col min="33" max="33" width="15.7109375" style="28" bestFit="1" customWidth="1"/>
    <col min="34" max="34" width="13.42578125" style="28" bestFit="1" customWidth="1"/>
    <col min="35" max="35" width="12.42578125" style="28" bestFit="1" customWidth="1"/>
    <col min="36" max="36" width="15.7109375" style="28" bestFit="1" customWidth="1"/>
    <col min="37" max="37" width="13.42578125" style="28" bestFit="1" customWidth="1"/>
    <col min="38" max="38" width="12.42578125" style="28" bestFit="1" customWidth="1"/>
    <col min="39" max="39" width="15.7109375" style="28" bestFit="1" customWidth="1"/>
    <col min="40" max="40" width="13.42578125" style="28" bestFit="1" customWidth="1"/>
    <col min="41" max="41" width="12.42578125" style="28" bestFit="1" customWidth="1"/>
    <col min="42" max="42" width="15.7109375" style="28" bestFit="1" customWidth="1"/>
    <col min="43" max="43" width="13.42578125" style="28" bestFit="1" customWidth="1"/>
    <col min="44" max="44" width="12.42578125" style="28" bestFit="1" customWidth="1"/>
    <col min="45" max="45" width="15.7109375" style="28" bestFit="1" customWidth="1"/>
    <col min="46" max="46" width="13.42578125" style="28" bestFit="1" customWidth="1"/>
    <col min="47" max="47" width="12.42578125" style="28" bestFit="1" customWidth="1"/>
    <col min="48" max="48" width="15.7109375" style="28" bestFit="1" customWidth="1"/>
    <col min="49" max="49" width="13.42578125" style="28" bestFit="1" customWidth="1"/>
    <col min="50" max="50" width="10.5703125" style="28" customWidth="1"/>
    <col min="51" max="51" width="13.42578125" style="28" bestFit="1" customWidth="1"/>
    <col min="52" max="16384" width="9.140625" style="28"/>
  </cols>
  <sheetData>
    <row r="1" spans="1:51" s="22" customFormat="1" ht="43.5">
      <c r="A1" s="91" t="s">
        <v>0</v>
      </c>
      <c r="B1" s="93" t="s">
        <v>1</v>
      </c>
      <c r="C1" s="92" t="s">
        <v>2</v>
      </c>
      <c r="D1" s="92" t="s">
        <v>3</v>
      </c>
      <c r="E1" s="93" t="s">
        <v>4</v>
      </c>
      <c r="F1" s="92" t="s">
        <v>5</v>
      </c>
      <c r="G1" s="92" t="s">
        <v>6</v>
      </c>
      <c r="H1" s="92" t="s">
        <v>7</v>
      </c>
      <c r="I1" s="92" t="s">
        <v>8</v>
      </c>
      <c r="J1" s="92" t="s">
        <v>9</v>
      </c>
      <c r="K1" s="90" t="s">
        <v>10</v>
      </c>
      <c r="L1" s="90" t="s">
        <v>11</v>
      </c>
      <c r="M1" s="90" t="s">
        <v>12</v>
      </c>
      <c r="N1" s="21" t="s">
        <v>13</v>
      </c>
      <c r="O1" s="21" t="s">
        <v>14</v>
      </c>
      <c r="P1" s="21" t="s">
        <v>15</v>
      </c>
      <c r="Q1" s="90" t="s">
        <v>16</v>
      </c>
      <c r="R1" s="90" t="s">
        <v>17</v>
      </c>
      <c r="S1" s="90" t="s">
        <v>18</v>
      </c>
      <c r="T1" s="21" t="s">
        <v>19</v>
      </c>
      <c r="U1" s="21" t="s">
        <v>20</v>
      </c>
      <c r="V1" s="21" t="s">
        <v>21</v>
      </c>
      <c r="W1" s="90" t="s">
        <v>22</v>
      </c>
      <c r="X1" s="90" t="s">
        <v>23</v>
      </c>
      <c r="Y1" s="90" t="s">
        <v>24</v>
      </c>
      <c r="Z1" s="21" t="s">
        <v>25</v>
      </c>
      <c r="AA1" s="21" t="s">
        <v>26</v>
      </c>
      <c r="AB1" s="21" t="s">
        <v>27</v>
      </c>
      <c r="AC1" s="90" t="s">
        <v>28</v>
      </c>
      <c r="AD1" s="90" t="s">
        <v>29</v>
      </c>
      <c r="AE1" s="90" t="s">
        <v>30</v>
      </c>
      <c r="AF1" s="21" t="s">
        <v>31</v>
      </c>
      <c r="AG1" s="21" t="s">
        <v>32</v>
      </c>
      <c r="AH1" s="21" t="s">
        <v>33</v>
      </c>
      <c r="AI1" s="90" t="s">
        <v>34</v>
      </c>
      <c r="AJ1" s="90" t="s">
        <v>35</v>
      </c>
      <c r="AK1" s="90" t="s">
        <v>36</v>
      </c>
      <c r="AL1" s="21" t="s">
        <v>37</v>
      </c>
      <c r="AM1" s="21" t="s">
        <v>38</v>
      </c>
      <c r="AN1" s="21" t="s">
        <v>39</v>
      </c>
      <c r="AO1" s="90" t="s">
        <v>40</v>
      </c>
      <c r="AP1" s="90" t="s">
        <v>41</v>
      </c>
      <c r="AQ1" s="90" t="s">
        <v>42</v>
      </c>
      <c r="AR1" s="21" t="s">
        <v>43</v>
      </c>
      <c r="AS1" s="21" t="s">
        <v>44</v>
      </c>
      <c r="AT1" s="21" t="s">
        <v>45</v>
      </c>
      <c r="AU1" s="92" t="s">
        <v>46</v>
      </c>
      <c r="AV1" s="92" t="s">
        <v>47</v>
      </c>
      <c r="AW1" s="92" t="s">
        <v>48</v>
      </c>
      <c r="AX1" s="92" t="s">
        <v>49</v>
      </c>
      <c r="AY1" s="92" t="s">
        <v>50</v>
      </c>
    </row>
    <row r="2" spans="1:51">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IF(L2=0,0,K2-L2)+IF(O2=0,0,N2-O2)+IF(R2=0,0,Q2-R2)+IF(U2=0,0,T2-U2)+IF(X2=0,0,W2-X2)+IF(AA2=0,0,Z2-AA2)+IF(AD2=0,0,AC2-AD2)+IF(AG2=0,0,AF2-AG2)+IF(AJ2=0,0,AI2-AJ2)+IF(AM2=0,0,AL2-AM2)+IF(AP2=0,0,AO2-AP2)+IF(AS2=0,0,AR2-AS2)</f>
        <v>0</v>
      </c>
      <c r="AY2" s="33" t="e">
        <f>AX2/J2</f>
        <v>#DIV/0!</v>
      </c>
    </row>
    <row r="3" spans="1:51">
      <c r="A3" s="23">
        <v>2</v>
      </c>
      <c r="B3" s="70"/>
      <c r="C3" s="70"/>
      <c r="D3" s="71"/>
      <c r="E3" s="71"/>
      <c r="F3" s="71"/>
      <c r="G3" s="71"/>
      <c r="H3" s="72"/>
      <c r="I3" s="72"/>
      <c r="J3" s="75"/>
      <c r="K3" s="20"/>
      <c r="L3" s="26"/>
      <c r="M3" s="33" t="e">
        <f t="shared" ref="M3:M23" si="0">(K3-L3)/K3+1</f>
        <v>#DIV/0!</v>
      </c>
      <c r="N3" s="20"/>
      <c r="O3" s="26"/>
      <c r="P3" s="33" t="e">
        <f t="shared" ref="P3:P23" si="1">(N3-O3)/N3+1</f>
        <v>#DIV/0!</v>
      </c>
      <c r="Q3" s="20"/>
      <c r="R3" s="26"/>
      <c r="S3" s="33" t="e">
        <f t="shared" ref="S3:S23" si="2">(Q3-R3)/Q3+1</f>
        <v>#DIV/0!</v>
      </c>
      <c r="T3" s="20"/>
      <c r="U3" s="26"/>
      <c r="V3" s="33" t="e">
        <f t="shared" ref="V3:V23" si="3">(T3-U3)/T3+1</f>
        <v>#DIV/0!</v>
      </c>
      <c r="W3" s="20"/>
      <c r="X3" s="26"/>
      <c r="Y3" s="33" t="e">
        <f t="shared" ref="Y3:Y23" si="4">(W3-X3)/W3+1</f>
        <v>#DIV/0!</v>
      </c>
      <c r="Z3" s="20"/>
      <c r="AA3" s="26"/>
      <c r="AB3" s="33" t="e">
        <f t="shared" ref="AB3:AB23" si="5">(Z3-AA3)/Z3+1</f>
        <v>#DIV/0!</v>
      </c>
      <c r="AC3" s="20"/>
      <c r="AD3" s="26"/>
      <c r="AE3" s="33" t="e">
        <f t="shared" ref="AE3:AE23" si="6">(AC3-AD3)/AC3+1</f>
        <v>#DIV/0!</v>
      </c>
      <c r="AF3" s="20"/>
      <c r="AG3" s="26"/>
      <c r="AH3" s="33" t="e">
        <f t="shared" ref="AH3:AH23" si="7">(AF3-AG3)/AF3+1</f>
        <v>#DIV/0!</v>
      </c>
      <c r="AI3" s="20"/>
      <c r="AJ3" s="26"/>
      <c r="AK3" s="33" t="e">
        <f t="shared" ref="AK3:AK23" si="8">(AI3-AJ3)/AI3+1</f>
        <v>#DIV/0!</v>
      </c>
      <c r="AL3" s="20"/>
      <c r="AM3" s="26"/>
      <c r="AN3" s="33" t="e">
        <f t="shared" ref="AN3:AN23" si="9">(AL3-AM3)/AL3+1</f>
        <v>#DIV/0!</v>
      </c>
      <c r="AO3" s="20"/>
      <c r="AP3" s="26"/>
      <c r="AQ3" s="33" t="e">
        <f t="shared" ref="AQ3:AQ23" si="10">(AO3-AP3)/AO3+1</f>
        <v>#DIV/0!</v>
      </c>
      <c r="AR3" s="20"/>
      <c r="AS3" s="26"/>
      <c r="AT3" s="33" t="e">
        <f t="shared" ref="AT3:AT23" si="11">(AR3-AS3)/AR3+1</f>
        <v>#DIV/0!</v>
      </c>
      <c r="AU3" s="32">
        <f t="shared" ref="AU3:AU23" si="12">K3+N3+Q3+T3+W3+Z3+AC3+AF3+AI3+AL3+AO3+AR3</f>
        <v>0</v>
      </c>
      <c r="AV3" s="32">
        <f t="shared" ref="AV3:AV23" si="13">AS3+AP3+AM3+AJ3+AG3+AD3+AA3+X3+U3+R3+O3+L3</f>
        <v>0</v>
      </c>
      <c r="AW3" s="33" t="e">
        <f t="shared" ref="AW3:AW23" si="14">(AU3-AV3)/AU3+1</f>
        <v>#DIV/0!</v>
      </c>
      <c r="AX3" s="32">
        <f t="shared" ref="AX3:AX23" si="15">IF(L3=0,0,K3-L3)+IF(O3=0,0,N3-O3)+IF(R3=0,0,Q3-R3)+IF(U3=0,0,T3-U3)+IF(X3=0,0,W3-X3)+IF(AA3=0,0,Z3-AA3)+IF(AD3=0,0,AC3-AD3)+IF(AG3=0,0,AF3-AG3)+IF(AJ3=0,0,AI3-AJ3)+IF(AM3=0,0,AL3-AM3)+IF(AP3=0,0,AO3-AP3)+IF(AS3=0,0,AR3-AS3)</f>
        <v>0</v>
      </c>
      <c r="AY3" s="33" t="e">
        <f t="shared" ref="AY3:AY23" si="16">AX3/J3</f>
        <v>#DIV/0!</v>
      </c>
    </row>
    <row r="4" spans="1:51">
      <c r="A4" s="23">
        <v>3</v>
      </c>
      <c r="B4" s="70"/>
      <c r="C4" s="70"/>
      <c r="D4" s="71"/>
      <c r="E4" s="71"/>
      <c r="F4" s="71"/>
      <c r="G4" s="71"/>
      <c r="H4" s="72"/>
      <c r="I4" s="72"/>
      <c r="J4" s="75"/>
      <c r="K4" s="20"/>
      <c r="L4" s="26"/>
      <c r="M4" s="33" t="e">
        <f t="shared" si="0"/>
        <v>#DIV/0!</v>
      </c>
      <c r="N4" s="20"/>
      <c r="O4" s="26"/>
      <c r="P4" s="33" t="e">
        <f t="shared" si="1"/>
        <v>#DIV/0!</v>
      </c>
      <c r="Q4" s="20"/>
      <c r="R4" s="26"/>
      <c r="S4" s="33" t="e">
        <f t="shared" si="2"/>
        <v>#DIV/0!</v>
      </c>
      <c r="T4" s="20"/>
      <c r="U4" s="26"/>
      <c r="V4" s="33" t="e">
        <f t="shared" si="3"/>
        <v>#DIV/0!</v>
      </c>
      <c r="W4" s="20"/>
      <c r="X4" s="26"/>
      <c r="Y4" s="33" t="e">
        <f t="shared" si="4"/>
        <v>#DIV/0!</v>
      </c>
      <c r="Z4" s="20"/>
      <c r="AA4" s="26"/>
      <c r="AB4" s="33" t="e">
        <f t="shared" si="5"/>
        <v>#DIV/0!</v>
      </c>
      <c r="AC4" s="20"/>
      <c r="AD4" s="26"/>
      <c r="AE4" s="33" t="e">
        <f t="shared" si="6"/>
        <v>#DIV/0!</v>
      </c>
      <c r="AF4" s="20"/>
      <c r="AG4" s="26"/>
      <c r="AH4" s="33" t="e">
        <f t="shared" si="7"/>
        <v>#DIV/0!</v>
      </c>
      <c r="AI4" s="20"/>
      <c r="AJ4" s="26"/>
      <c r="AK4" s="33" t="e">
        <f t="shared" si="8"/>
        <v>#DIV/0!</v>
      </c>
      <c r="AL4" s="20"/>
      <c r="AM4" s="26"/>
      <c r="AN4" s="33" t="e">
        <f t="shared" si="9"/>
        <v>#DIV/0!</v>
      </c>
      <c r="AO4" s="20"/>
      <c r="AP4" s="26"/>
      <c r="AQ4" s="33" t="e">
        <f t="shared" si="10"/>
        <v>#DIV/0!</v>
      </c>
      <c r="AR4" s="20"/>
      <c r="AS4" s="26"/>
      <c r="AT4" s="33" t="e">
        <f t="shared" si="11"/>
        <v>#DIV/0!</v>
      </c>
      <c r="AU4" s="32">
        <f t="shared" si="12"/>
        <v>0</v>
      </c>
      <c r="AV4" s="32">
        <f t="shared" si="13"/>
        <v>0</v>
      </c>
      <c r="AW4" s="33" t="e">
        <f t="shared" si="14"/>
        <v>#DIV/0!</v>
      </c>
      <c r="AX4" s="32">
        <f t="shared" si="15"/>
        <v>0</v>
      </c>
      <c r="AY4" s="33" t="e">
        <f t="shared" si="16"/>
        <v>#DIV/0!</v>
      </c>
    </row>
    <row r="5" spans="1:51">
      <c r="A5" s="23">
        <v>4</v>
      </c>
      <c r="B5" s="76"/>
      <c r="C5" s="76"/>
      <c r="D5" s="77"/>
      <c r="E5" s="78"/>
      <c r="F5" s="77"/>
      <c r="G5" s="77"/>
      <c r="H5" s="79"/>
      <c r="I5" s="79"/>
      <c r="J5" s="75"/>
      <c r="K5" s="20"/>
      <c r="L5" s="26"/>
      <c r="M5" s="33" t="e">
        <f t="shared" si="0"/>
        <v>#DIV/0!</v>
      </c>
      <c r="N5" s="20"/>
      <c r="O5" s="26"/>
      <c r="P5" s="33" t="e">
        <f t="shared" si="1"/>
        <v>#DIV/0!</v>
      </c>
      <c r="Q5" s="20"/>
      <c r="R5" s="26"/>
      <c r="S5" s="33" t="e">
        <f t="shared" si="2"/>
        <v>#DIV/0!</v>
      </c>
      <c r="T5" s="20"/>
      <c r="U5" s="26"/>
      <c r="V5" s="33" t="e">
        <f t="shared" si="3"/>
        <v>#DIV/0!</v>
      </c>
      <c r="W5" s="20"/>
      <c r="X5" s="26"/>
      <c r="Y5" s="33" t="e">
        <f t="shared" si="4"/>
        <v>#DIV/0!</v>
      </c>
      <c r="Z5" s="20"/>
      <c r="AA5" s="26"/>
      <c r="AB5" s="33" t="e">
        <f t="shared" si="5"/>
        <v>#DIV/0!</v>
      </c>
      <c r="AC5" s="20"/>
      <c r="AD5" s="26"/>
      <c r="AE5" s="33" t="e">
        <f t="shared" si="6"/>
        <v>#DIV/0!</v>
      </c>
      <c r="AF5" s="20"/>
      <c r="AG5" s="26"/>
      <c r="AH5" s="33" t="e">
        <f t="shared" si="7"/>
        <v>#DIV/0!</v>
      </c>
      <c r="AI5" s="20"/>
      <c r="AJ5" s="26"/>
      <c r="AK5" s="33" t="e">
        <f t="shared" si="8"/>
        <v>#DIV/0!</v>
      </c>
      <c r="AL5" s="20"/>
      <c r="AM5" s="26"/>
      <c r="AN5" s="33" t="e">
        <f t="shared" si="9"/>
        <v>#DIV/0!</v>
      </c>
      <c r="AO5" s="20"/>
      <c r="AP5" s="26"/>
      <c r="AQ5" s="33" t="e">
        <f t="shared" si="10"/>
        <v>#DIV/0!</v>
      </c>
      <c r="AR5" s="20"/>
      <c r="AS5" s="26"/>
      <c r="AT5" s="33" t="e">
        <f t="shared" si="11"/>
        <v>#DIV/0!</v>
      </c>
      <c r="AU5" s="32">
        <f t="shared" si="12"/>
        <v>0</v>
      </c>
      <c r="AV5" s="32">
        <f t="shared" si="13"/>
        <v>0</v>
      </c>
      <c r="AW5" s="33" t="e">
        <f t="shared" si="14"/>
        <v>#DIV/0!</v>
      </c>
      <c r="AX5" s="32">
        <f t="shared" si="15"/>
        <v>0</v>
      </c>
      <c r="AY5" s="33" t="e">
        <f t="shared" si="16"/>
        <v>#DIV/0!</v>
      </c>
    </row>
    <row r="6" spans="1:51">
      <c r="A6" s="23">
        <v>5</v>
      </c>
      <c r="B6" s="76"/>
      <c r="C6" s="76"/>
      <c r="D6" s="77"/>
      <c r="E6" s="78"/>
      <c r="F6" s="77"/>
      <c r="G6" s="77"/>
      <c r="H6" s="79"/>
      <c r="I6" s="79"/>
      <c r="J6" s="75"/>
      <c r="K6" s="20"/>
      <c r="L6" s="26"/>
      <c r="M6" s="33" t="e">
        <f t="shared" si="0"/>
        <v>#DIV/0!</v>
      </c>
      <c r="N6" s="20"/>
      <c r="O6" s="26"/>
      <c r="P6" s="33" t="e">
        <f t="shared" si="1"/>
        <v>#DIV/0!</v>
      </c>
      <c r="Q6" s="20"/>
      <c r="R6" s="26"/>
      <c r="S6" s="33" t="e">
        <f t="shared" si="2"/>
        <v>#DIV/0!</v>
      </c>
      <c r="T6" s="20"/>
      <c r="U6" s="26"/>
      <c r="V6" s="33" t="e">
        <f t="shared" si="3"/>
        <v>#DIV/0!</v>
      </c>
      <c r="W6" s="20"/>
      <c r="X6" s="26"/>
      <c r="Y6" s="33" t="e">
        <f t="shared" si="4"/>
        <v>#DIV/0!</v>
      </c>
      <c r="Z6" s="20"/>
      <c r="AA6" s="26"/>
      <c r="AB6" s="33" t="e">
        <f t="shared" si="5"/>
        <v>#DIV/0!</v>
      </c>
      <c r="AC6" s="20"/>
      <c r="AD6" s="26"/>
      <c r="AE6" s="33" t="e">
        <f t="shared" si="6"/>
        <v>#DIV/0!</v>
      </c>
      <c r="AF6" s="20"/>
      <c r="AG6" s="26"/>
      <c r="AH6" s="33" t="e">
        <f t="shared" si="7"/>
        <v>#DIV/0!</v>
      </c>
      <c r="AI6" s="20"/>
      <c r="AJ6" s="26"/>
      <c r="AK6" s="33" t="e">
        <f t="shared" si="8"/>
        <v>#DIV/0!</v>
      </c>
      <c r="AL6" s="20"/>
      <c r="AM6" s="26"/>
      <c r="AN6" s="33" t="e">
        <f t="shared" si="9"/>
        <v>#DIV/0!</v>
      </c>
      <c r="AO6" s="20"/>
      <c r="AP6" s="26"/>
      <c r="AQ6" s="33" t="e">
        <f t="shared" si="10"/>
        <v>#DIV/0!</v>
      </c>
      <c r="AR6" s="20"/>
      <c r="AS6" s="26"/>
      <c r="AT6" s="33" t="e">
        <f t="shared" si="11"/>
        <v>#DIV/0!</v>
      </c>
      <c r="AU6" s="32">
        <f t="shared" si="12"/>
        <v>0</v>
      </c>
      <c r="AV6" s="32">
        <f t="shared" si="13"/>
        <v>0</v>
      </c>
      <c r="AW6" s="33" t="e">
        <f t="shared" si="14"/>
        <v>#DIV/0!</v>
      </c>
      <c r="AX6" s="32">
        <f t="shared" si="15"/>
        <v>0</v>
      </c>
      <c r="AY6" s="33" t="e">
        <f t="shared" si="16"/>
        <v>#DIV/0!</v>
      </c>
    </row>
    <row r="7" spans="1:51">
      <c r="A7" s="23">
        <v>6</v>
      </c>
      <c r="B7" s="76"/>
      <c r="C7" s="76"/>
      <c r="D7" s="77"/>
      <c r="E7" s="78"/>
      <c r="F7" s="77"/>
      <c r="G7" s="77"/>
      <c r="H7" s="79"/>
      <c r="I7" s="79"/>
      <c r="J7" s="75"/>
      <c r="K7" s="20"/>
      <c r="L7" s="26"/>
      <c r="M7" s="33" t="e">
        <f t="shared" si="0"/>
        <v>#DIV/0!</v>
      </c>
      <c r="N7" s="20"/>
      <c r="O7" s="26"/>
      <c r="P7" s="33" t="e">
        <f t="shared" si="1"/>
        <v>#DIV/0!</v>
      </c>
      <c r="Q7" s="20"/>
      <c r="R7" s="26"/>
      <c r="S7" s="33" t="e">
        <f t="shared" si="2"/>
        <v>#DIV/0!</v>
      </c>
      <c r="T7" s="20"/>
      <c r="U7" s="26"/>
      <c r="V7" s="33" t="e">
        <f t="shared" si="3"/>
        <v>#DIV/0!</v>
      </c>
      <c r="W7" s="20"/>
      <c r="X7" s="26"/>
      <c r="Y7" s="33" t="e">
        <f t="shared" si="4"/>
        <v>#DIV/0!</v>
      </c>
      <c r="Z7" s="20"/>
      <c r="AA7" s="26"/>
      <c r="AB7" s="33" t="e">
        <f t="shared" si="5"/>
        <v>#DIV/0!</v>
      </c>
      <c r="AC7" s="20"/>
      <c r="AD7" s="26"/>
      <c r="AE7" s="33" t="e">
        <f t="shared" si="6"/>
        <v>#DIV/0!</v>
      </c>
      <c r="AF7" s="20"/>
      <c r="AG7" s="26"/>
      <c r="AH7" s="33" t="e">
        <f t="shared" si="7"/>
        <v>#DIV/0!</v>
      </c>
      <c r="AI7" s="20"/>
      <c r="AJ7" s="26"/>
      <c r="AK7" s="33" t="e">
        <f t="shared" si="8"/>
        <v>#DIV/0!</v>
      </c>
      <c r="AL7" s="20"/>
      <c r="AM7" s="26"/>
      <c r="AN7" s="33" t="e">
        <f t="shared" si="9"/>
        <v>#DIV/0!</v>
      </c>
      <c r="AO7" s="20"/>
      <c r="AP7" s="26"/>
      <c r="AQ7" s="33" t="e">
        <f t="shared" si="10"/>
        <v>#DIV/0!</v>
      </c>
      <c r="AR7" s="20"/>
      <c r="AS7" s="26"/>
      <c r="AT7" s="33" t="e">
        <f t="shared" si="11"/>
        <v>#DIV/0!</v>
      </c>
      <c r="AU7" s="32">
        <f t="shared" si="12"/>
        <v>0</v>
      </c>
      <c r="AV7" s="32">
        <f t="shared" si="13"/>
        <v>0</v>
      </c>
      <c r="AW7" s="33" t="e">
        <f t="shared" si="14"/>
        <v>#DIV/0!</v>
      </c>
      <c r="AX7" s="32">
        <f t="shared" si="15"/>
        <v>0</v>
      </c>
      <c r="AY7" s="33" t="e">
        <f t="shared" si="16"/>
        <v>#DIV/0!</v>
      </c>
    </row>
    <row r="8" spans="1:51">
      <c r="A8" s="23">
        <v>7</v>
      </c>
      <c r="B8" s="69"/>
      <c r="C8" s="69"/>
      <c r="D8" s="77"/>
      <c r="E8" s="77"/>
      <c r="F8" s="77"/>
      <c r="G8" s="77"/>
      <c r="H8" s="79"/>
      <c r="I8" s="79"/>
      <c r="J8" s="73"/>
      <c r="K8" s="20"/>
      <c r="L8" s="26"/>
      <c r="M8" s="33" t="e">
        <f t="shared" si="0"/>
        <v>#DIV/0!</v>
      </c>
      <c r="N8" s="20"/>
      <c r="O8" s="26"/>
      <c r="P8" s="33" t="e">
        <f t="shared" si="1"/>
        <v>#DIV/0!</v>
      </c>
      <c r="Q8" s="20"/>
      <c r="R8" s="26"/>
      <c r="S8" s="33" t="e">
        <f t="shared" si="2"/>
        <v>#DIV/0!</v>
      </c>
      <c r="T8" s="20"/>
      <c r="U8" s="26"/>
      <c r="V8" s="33" t="e">
        <f t="shared" si="3"/>
        <v>#DIV/0!</v>
      </c>
      <c r="W8" s="20"/>
      <c r="X8" s="26"/>
      <c r="Y8" s="33" t="e">
        <f t="shared" si="4"/>
        <v>#DIV/0!</v>
      </c>
      <c r="Z8" s="20"/>
      <c r="AA8" s="26"/>
      <c r="AB8" s="33" t="e">
        <f t="shared" si="5"/>
        <v>#DIV/0!</v>
      </c>
      <c r="AC8" s="20"/>
      <c r="AD8" s="26"/>
      <c r="AE8" s="33" t="e">
        <f t="shared" si="6"/>
        <v>#DIV/0!</v>
      </c>
      <c r="AF8" s="20"/>
      <c r="AG8" s="26"/>
      <c r="AH8" s="33" t="e">
        <f t="shared" si="7"/>
        <v>#DIV/0!</v>
      </c>
      <c r="AI8" s="20"/>
      <c r="AJ8" s="26"/>
      <c r="AK8" s="33" t="e">
        <f t="shared" si="8"/>
        <v>#DIV/0!</v>
      </c>
      <c r="AL8" s="20"/>
      <c r="AM8" s="26"/>
      <c r="AN8" s="33" t="e">
        <f t="shared" si="9"/>
        <v>#DIV/0!</v>
      </c>
      <c r="AO8" s="20"/>
      <c r="AP8" s="26"/>
      <c r="AQ8" s="33" t="e">
        <f t="shared" si="10"/>
        <v>#DIV/0!</v>
      </c>
      <c r="AR8" s="20"/>
      <c r="AS8" s="26"/>
      <c r="AT8" s="33" t="e">
        <f t="shared" si="11"/>
        <v>#DIV/0!</v>
      </c>
      <c r="AU8" s="32">
        <f t="shared" si="12"/>
        <v>0</v>
      </c>
      <c r="AV8" s="32">
        <f t="shared" si="13"/>
        <v>0</v>
      </c>
      <c r="AW8" s="33" t="e">
        <f t="shared" si="14"/>
        <v>#DIV/0!</v>
      </c>
      <c r="AX8" s="32">
        <f t="shared" si="15"/>
        <v>0</v>
      </c>
      <c r="AY8" s="33" t="e">
        <f t="shared" si="16"/>
        <v>#DIV/0!</v>
      </c>
    </row>
    <row r="9" spans="1:51">
      <c r="A9" s="23">
        <v>8</v>
      </c>
      <c r="B9" s="69"/>
      <c r="C9" s="69"/>
      <c r="D9" s="77"/>
      <c r="E9" s="77"/>
      <c r="F9" s="77"/>
      <c r="G9" s="77"/>
      <c r="H9" s="79"/>
      <c r="I9" s="79"/>
      <c r="J9" s="73"/>
      <c r="K9" s="20"/>
      <c r="L9" s="26"/>
      <c r="M9" s="33" t="e">
        <f t="shared" si="0"/>
        <v>#DIV/0!</v>
      </c>
      <c r="N9" s="20"/>
      <c r="O9" s="26"/>
      <c r="P9" s="33" t="e">
        <f t="shared" si="1"/>
        <v>#DIV/0!</v>
      </c>
      <c r="Q9" s="20"/>
      <c r="R9" s="26"/>
      <c r="S9" s="33" t="e">
        <f t="shared" si="2"/>
        <v>#DIV/0!</v>
      </c>
      <c r="T9" s="20"/>
      <c r="U9" s="26"/>
      <c r="V9" s="33" t="e">
        <f t="shared" si="3"/>
        <v>#DIV/0!</v>
      </c>
      <c r="W9" s="20"/>
      <c r="X9" s="26"/>
      <c r="Y9" s="33" t="e">
        <f t="shared" si="4"/>
        <v>#DIV/0!</v>
      </c>
      <c r="Z9" s="20"/>
      <c r="AA9" s="26"/>
      <c r="AB9" s="33" t="e">
        <f t="shared" si="5"/>
        <v>#DIV/0!</v>
      </c>
      <c r="AC9" s="20"/>
      <c r="AD9" s="26"/>
      <c r="AE9" s="33" t="e">
        <f t="shared" si="6"/>
        <v>#DIV/0!</v>
      </c>
      <c r="AF9" s="20"/>
      <c r="AG9" s="26"/>
      <c r="AH9" s="33" t="e">
        <f t="shared" si="7"/>
        <v>#DIV/0!</v>
      </c>
      <c r="AI9" s="20"/>
      <c r="AJ9" s="26"/>
      <c r="AK9" s="33" t="e">
        <f t="shared" si="8"/>
        <v>#DIV/0!</v>
      </c>
      <c r="AL9" s="20"/>
      <c r="AM9" s="26"/>
      <c r="AN9" s="33" t="e">
        <f t="shared" si="9"/>
        <v>#DIV/0!</v>
      </c>
      <c r="AO9" s="20"/>
      <c r="AP9" s="26"/>
      <c r="AQ9" s="33" t="e">
        <f t="shared" si="10"/>
        <v>#DIV/0!</v>
      </c>
      <c r="AR9" s="20"/>
      <c r="AS9" s="26"/>
      <c r="AT9" s="33" t="e">
        <f t="shared" si="11"/>
        <v>#DIV/0!</v>
      </c>
      <c r="AU9" s="32">
        <f t="shared" si="12"/>
        <v>0</v>
      </c>
      <c r="AV9" s="32">
        <f t="shared" si="13"/>
        <v>0</v>
      </c>
      <c r="AW9" s="33" t="e">
        <f t="shared" si="14"/>
        <v>#DIV/0!</v>
      </c>
      <c r="AX9" s="32">
        <f t="shared" si="15"/>
        <v>0</v>
      </c>
      <c r="AY9" s="33" t="e">
        <f t="shared" si="16"/>
        <v>#DIV/0!</v>
      </c>
    </row>
    <row r="10" spans="1:51">
      <c r="A10" s="23">
        <v>9</v>
      </c>
      <c r="B10" s="69"/>
      <c r="C10" s="69"/>
      <c r="D10" s="77"/>
      <c r="E10" s="77"/>
      <c r="F10" s="77"/>
      <c r="G10" s="77"/>
      <c r="H10" s="79"/>
      <c r="I10" s="79"/>
      <c r="J10" s="73"/>
      <c r="K10" s="20"/>
      <c r="L10" s="26"/>
      <c r="M10" s="33" t="e">
        <f t="shared" si="0"/>
        <v>#DIV/0!</v>
      </c>
      <c r="N10" s="20"/>
      <c r="O10" s="26"/>
      <c r="P10" s="33" t="e">
        <f t="shared" si="1"/>
        <v>#DIV/0!</v>
      </c>
      <c r="Q10" s="20"/>
      <c r="R10" s="26"/>
      <c r="S10" s="33" t="e">
        <f t="shared" si="2"/>
        <v>#DIV/0!</v>
      </c>
      <c r="T10" s="20"/>
      <c r="U10" s="26"/>
      <c r="V10" s="33" t="e">
        <f t="shared" si="3"/>
        <v>#DIV/0!</v>
      </c>
      <c r="W10" s="20"/>
      <c r="X10" s="26"/>
      <c r="Y10" s="33" t="e">
        <f t="shared" si="4"/>
        <v>#DIV/0!</v>
      </c>
      <c r="Z10" s="20"/>
      <c r="AA10" s="26"/>
      <c r="AB10" s="33" t="e">
        <f t="shared" si="5"/>
        <v>#DIV/0!</v>
      </c>
      <c r="AC10" s="20"/>
      <c r="AD10" s="26"/>
      <c r="AE10" s="33" t="e">
        <f t="shared" si="6"/>
        <v>#DIV/0!</v>
      </c>
      <c r="AF10" s="20"/>
      <c r="AG10" s="26"/>
      <c r="AH10" s="33" t="e">
        <f t="shared" si="7"/>
        <v>#DIV/0!</v>
      </c>
      <c r="AI10" s="20"/>
      <c r="AJ10" s="26"/>
      <c r="AK10" s="33" t="e">
        <f t="shared" si="8"/>
        <v>#DIV/0!</v>
      </c>
      <c r="AL10" s="20"/>
      <c r="AM10" s="26"/>
      <c r="AN10" s="33" t="e">
        <f t="shared" si="9"/>
        <v>#DIV/0!</v>
      </c>
      <c r="AO10" s="20"/>
      <c r="AP10" s="26"/>
      <c r="AQ10" s="33" t="e">
        <f t="shared" si="10"/>
        <v>#DIV/0!</v>
      </c>
      <c r="AR10" s="20"/>
      <c r="AS10" s="26"/>
      <c r="AT10" s="33" t="e">
        <f t="shared" si="11"/>
        <v>#DIV/0!</v>
      </c>
      <c r="AU10" s="32">
        <f t="shared" si="12"/>
        <v>0</v>
      </c>
      <c r="AV10" s="32">
        <f t="shared" si="13"/>
        <v>0</v>
      </c>
      <c r="AW10" s="33" t="e">
        <f t="shared" si="14"/>
        <v>#DIV/0!</v>
      </c>
      <c r="AX10" s="32">
        <f t="shared" si="15"/>
        <v>0</v>
      </c>
      <c r="AY10" s="33" t="e">
        <f t="shared" si="16"/>
        <v>#DIV/0!</v>
      </c>
    </row>
    <row r="11" spans="1:51">
      <c r="A11" s="23">
        <v>10</v>
      </c>
      <c r="B11" s="69"/>
      <c r="C11" s="69"/>
      <c r="D11" s="77"/>
      <c r="E11" s="77"/>
      <c r="F11" s="77"/>
      <c r="G11" s="77"/>
      <c r="H11" s="79"/>
      <c r="I11" s="79"/>
      <c r="J11" s="73"/>
      <c r="K11" s="20"/>
      <c r="L11" s="26"/>
      <c r="M11" s="33" t="e">
        <f t="shared" si="0"/>
        <v>#DIV/0!</v>
      </c>
      <c r="N11" s="20"/>
      <c r="O11" s="26"/>
      <c r="P11" s="33" t="e">
        <f t="shared" si="1"/>
        <v>#DIV/0!</v>
      </c>
      <c r="Q11" s="20"/>
      <c r="R11" s="26"/>
      <c r="S11" s="33" t="e">
        <f t="shared" si="2"/>
        <v>#DIV/0!</v>
      </c>
      <c r="T11" s="20"/>
      <c r="U11" s="26"/>
      <c r="V11" s="33" t="e">
        <f t="shared" si="3"/>
        <v>#DIV/0!</v>
      </c>
      <c r="W11" s="20"/>
      <c r="X11" s="26"/>
      <c r="Y11" s="33" t="e">
        <f t="shared" si="4"/>
        <v>#DIV/0!</v>
      </c>
      <c r="Z11" s="20"/>
      <c r="AA11" s="26"/>
      <c r="AB11" s="33" t="e">
        <f t="shared" si="5"/>
        <v>#DIV/0!</v>
      </c>
      <c r="AC11" s="20"/>
      <c r="AD11" s="26"/>
      <c r="AE11" s="33" t="e">
        <f t="shared" si="6"/>
        <v>#DIV/0!</v>
      </c>
      <c r="AF11" s="20"/>
      <c r="AG11" s="26"/>
      <c r="AH11" s="33" t="e">
        <f t="shared" si="7"/>
        <v>#DIV/0!</v>
      </c>
      <c r="AI11" s="20"/>
      <c r="AJ11" s="26"/>
      <c r="AK11" s="33" t="e">
        <f t="shared" si="8"/>
        <v>#DIV/0!</v>
      </c>
      <c r="AL11" s="20"/>
      <c r="AM11" s="26"/>
      <c r="AN11" s="33" t="e">
        <f t="shared" si="9"/>
        <v>#DIV/0!</v>
      </c>
      <c r="AO11" s="20"/>
      <c r="AP11" s="26"/>
      <c r="AQ11" s="33" t="e">
        <f t="shared" si="10"/>
        <v>#DIV/0!</v>
      </c>
      <c r="AR11" s="20"/>
      <c r="AS11" s="26"/>
      <c r="AT11" s="33" t="e">
        <f t="shared" si="11"/>
        <v>#DIV/0!</v>
      </c>
      <c r="AU11" s="32">
        <f t="shared" si="12"/>
        <v>0</v>
      </c>
      <c r="AV11" s="32">
        <f t="shared" si="13"/>
        <v>0</v>
      </c>
      <c r="AW11" s="33" t="e">
        <f t="shared" si="14"/>
        <v>#DIV/0!</v>
      </c>
      <c r="AX11" s="32">
        <f t="shared" si="15"/>
        <v>0</v>
      </c>
      <c r="AY11" s="33" t="e">
        <f t="shared" si="16"/>
        <v>#DIV/0!</v>
      </c>
    </row>
    <row r="12" spans="1:51">
      <c r="A12" s="23">
        <v>11</v>
      </c>
      <c r="B12" s="70"/>
      <c r="C12" s="70"/>
      <c r="D12" s="71"/>
      <c r="E12" s="71"/>
      <c r="F12" s="71"/>
      <c r="G12" s="71"/>
      <c r="H12" s="72"/>
      <c r="I12" s="72"/>
      <c r="J12" s="73"/>
      <c r="K12" s="20"/>
      <c r="L12" s="26"/>
      <c r="M12" s="33" t="e">
        <f t="shared" si="0"/>
        <v>#DIV/0!</v>
      </c>
      <c r="N12" s="20"/>
      <c r="O12" s="26"/>
      <c r="P12" s="33" t="e">
        <f t="shared" si="1"/>
        <v>#DIV/0!</v>
      </c>
      <c r="Q12" s="20"/>
      <c r="R12" s="26"/>
      <c r="S12" s="33" t="e">
        <f t="shared" si="2"/>
        <v>#DIV/0!</v>
      </c>
      <c r="T12" s="20"/>
      <c r="U12" s="26"/>
      <c r="V12" s="33" t="e">
        <f t="shared" si="3"/>
        <v>#DIV/0!</v>
      </c>
      <c r="W12" s="20"/>
      <c r="X12" s="26"/>
      <c r="Y12" s="33" t="e">
        <f t="shared" si="4"/>
        <v>#DIV/0!</v>
      </c>
      <c r="Z12" s="20"/>
      <c r="AA12" s="26"/>
      <c r="AB12" s="33" t="e">
        <f t="shared" si="5"/>
        <v>#DIV/0!</v>
      </c>
      <c r="AC12" s="20"/>
      <c r="AD12" s="26"/>
      <c r="AE12" s="33" t="e">
        <f t="shared" si="6"/>
        <v>#DIV/0!</v>
      </c>
      <c r="AF12" s="20"/>
      <c r="AG12" s="26"/>
      <c r="AH12" s="33" t="e">
        <f t="shared" si="7"/>
        <v>#DIV/0!</v>
      </c>
      <c r="AI12" s="20"/>
      <c r="AJ12" s="26"/>
      <c r="AK12" s="33" t="e">
        <f t="shared" si="8"/>
        <v>#DIV/0!</v>
      </c>
      <c r="AL12" s="20"/>
      <c r="AM12" s="26"/>
      <c r="AN12" s="33" t="e">
        <f t="shared" si="9"/>
        <v>#DIV/0!</v>
      </c>
      <c r="AO12" s="20"/>
      <c r="AP12" s="26"/>
      <c r="AQ12" s="33" t="e">
        <f t="shared" si="10"/>
        <v>#DIV/0!</v>
      </c>
      <c r="AR12" s="20"/>
      <c r="AS12" s="26"/>
      <c r="AT12" s="33" t="e">
        <f t="shared" si="11"/>
        <v>#DIV/0!</v>
      </c>
      <c r="AU12" s="32">
        <f t="shared" si="12"/>
        <v>0</v>
      </c>
      <c r="AV12" s="32">
        <f t="shared" si="13"/>
        <v>0</v>
      </c>
      <c r="AW12" s="33" t="e">
        <f t="shared" si="14"/>
        <v>#DIV/0!</v>
      </c>
      <c r="AX12" s="32">
        <f t="shared" si="15"/>
        <v>0</v>
      </c>
      <c r="AY12" s="33" t="e">
        <f t="shared" si="16"/>
        <v>#DIV/0!</v>
      </c>
    </row>
    <row r="13" spans="1:51">
      <c r="A13" s="23">
        <v>12</v>
      </c>
      <c r="B13" s="69"/>
      <c r="C13" s="69"/>
      <c r="D13" s="71"/>
      <c r="E13" s="71"/>
      <c r="F13" s="71"/>
      <c r="G13" s="71"/>
      <c r="H13" s="72"/>
      <c r="I13" s="72"/>
      <c r="J13" s="73"/>
      <c r="K13" s="20"/>
      <c r="L13" s="26"/>
      <c r="M13" s="33" t="e">
        <f t="shared" si="0"/>
        <v>#DIV/0!</v>
      </c>
      <c r="N13" s="20"/>
      <c r="O13" s="26"/>
      <c r="P13" s="33" t="e">
        <f t="shared" si="1"/>
        <v>#DIV/0!</v>
      </c>
      <c r="Q13" s="20"/>
      <c r="R13" s="26"/>
      <c r="S13" s="33" t="e">
        <f t="shared" si="2"/>
        <v>#DIV/0!</v>
      </c>
      <c r="T13" s="20"/>
      <c r="U13" s="26"/>
      <c r="V13" s="33" t="e">
        <f t="shared" si="3"/>
        <v>#DIV/0!</v>
      </c>
      <c r="W13" s="20"/>
      <c r="X13" s="26"/>
      <c r="Y13" s="33" t="e">
        <f t="shared" si="4"/>
        <v>#DIV/0!</v>
      </c>
      <c r="Z13" s="20"/>
      <c r="AA13" s="26"/>
      <c r="AB13" s="33" t="e">
        <f t="shared" si="5"/>
        <v>#DIV/0!</v>
      </c>
      <c r="AC13" s="20"/>
      <c r="AD13" s="26"/>
      <c r="AE13" s="33" t="e">
        <f t="shared" si="6"/>
        <v>#DIV/0!</v>
      </c>
      <c r="AF13" s="20"/>
      <c r="AG13" s="26"/>
      <c r="AH13" s="33" t="e">
        <f t="shared" si="7"/>
        <v>#DIV/0!</v>
      </c>
      <c r="AI13" s="20"/>
      <c r="AJ13" s="26"/>
      <c r="AK13" s="33" t="e">
        <f t="shared" si="8"/>
        <v>#DIV/0!</v>
      </c>
      <c r="AL13" s="20"/>
      <c r="AM13" s="26"/>
      <c r="AN13" s="33" t="e">
        <f t="shared" si="9"/>
        <v>#DIV/0!</v>
      </c>
      <c r="AO13" s="20"/>
      <c r="AP13" s="26"/>
      <c r="AQ13" s="33" t="e">
        <f t="shared" si="10"/>
        <v>#DIV/0!</v>
      </c>
      <c r="AR13" s="20"/>
      <c r="AS13" s="26"/>
      <c r="AT13" s="33" t="e">
        <f t="shared" si="11"/>
        <v>#DIV/0!</v>
      </c>
      <c r="AU13" s="32">
        <f t="shared" si="12"/>
        <v>0</v>
      </c>
      <c r="AV13" s="32">
        <f t="shared" si="13"/>
        <v>0</v>
      </c>
      <c r="AW13" s="33" t="e">
        <f t="shared" si="14"/>
        <v>#DIV/0!</v>
      </c>
      <c r="AX13" s="32">
        <f t="shared" si="15"/>
        <v>0</v>
      </c>
      <c r="AY13" s="33" t="e">
        <f t="shared" si="16"/>
        <v>#DIV/0!</v>
      </c>
    </row>
    <row r="14" spans="1:51">
      <c r="A14" s="23">
        <v>13</v>
      </c>
      <c r="B14" s="69"/>
      <c r="C14" s="69"/>
      <c r="D14" s="71"/>
      <c r="E14" s="71"/>
      <c r="F14" s="71"/>
      <c r="G14" s="71"/>
      <c r="H14" s="72"/>
      <c r="I14" s="72"/>
      <c r="J14" s="73"/>
      <c r="K14" s="20"/>
      <c r="L14" s="26"/>
      <c r="M14" s="33" t="e">
        <f t="shared" si="0"/>
        <v>#DIV/0!</v>
      </c>
      <c r="N14" s="20"/>
      <c r="O14" s="26"/>
      <c r="P14" s="33" t="e">
        <f t="shared" si="1"/>
        <v>#DIV/0!</v>
      </c>
      <c r="Q14" s="20"/>
      <c r="R14" s="26"/>
      <c r="S14" s="33" t="e">
        <f t="shared" si="2"/>
        <v>#DIV/0!</v>
      </c>
      <c r="T14" s="20"/>
      <c r="U14" s="26"/>
      <c r="V14" s="33" t="e">
        <f t="shared" si="3"/>
        <v>#DIV/0!</v>
      </c>
      <c r="W14" s="20"/>
      <c r="X14" s="26"/>
      <c r="Y14" s="33" t="e">
        <f t="shared" si="4"/>
        <v>#DIV/0!</v>
      </c>
      <c r="Z14" s="20"/>
      <c r="AA14" s="26"/>
      <c r="AB14" s="33" t="e">
        <f t="shared" si="5"/>
        <v>#DIV/0!</v>
      </c>
      <c r="AC14" s="20"/>
      <c r="AD14" s="26"/>
      <c r="AE14" s="33" t="e">
        <f t="shared" si="6"/>
        <v>#DIV/0!</v>
      </c>
      <c r="AF14" s="20"/>
      <c r="AG14" s="26"/>
      <c r="AH14" s="33" t="e">
        <f t="shared" si="7"/>
        <v>#DIV/0!</v>
      </c>
      <c r="AI14" s="20"/>
      <c r="AJ14" s="26"/>
      <c r="AK14" s="33" t="e">
        <f t="shared" si="8"/>
        <v>#DIV/0!</v>
      </c>
      <c r="AL14" s="20"/>
      <c r="AM14" s="26"/>
      <c r="AN14" s="33" t="e">
        <f t="shared" si="9"/>
        <v>#DIV/0!</v>
      </c>
      <c r="AO14" s="20"/>
      <c r="AP14" s="26"/>
      <c r="AQ14" s="33" t="e">
        <f t="shared" si="10"/>
        <v>#DIV/0!</v>
      </c>
      <c r="AR14" s="20"/>
      <c r="AS14" s="26"/>
      <c r="AT14" s="33" t="e">
        <f t="shared" si="11"/>
        <v>#DIV/0!</v>
      </c>
      <c r="AU14" s="32">
        <f t="shared" si="12"/>
        <v>0</v>
      </c>
      <c r="AV14" s="32">
        <f t="shared" si="13"/>
        <v>0</v>
      </c>
      <c r="AW14" s="33" t="e">
        <f t="shared" si="14"/>
        <v>#DIV/0!</v>
      </c>
      <c r="AX14" s="32">
        <f t="shared" si="15"/>
        <v>0</v>
      </c>
      <c r="AY14" s="33" t="e">
        <f t="shared" si="16"/>
        <v>#DIV/0!</v>
      </c>
    </row>
    <row r="15" spans="1:51">
      <c r="A15" s="23">
        <v>14</v>
      </c>
      <c r="B15" s="24"/>
      <c r="C15" s="24"/>
      <c r="D15" s="23"/>
      <c r="E15" s="24"/>
      <c r="F15" s="23"/>
      <c r="G15" s="23"/>
      <c r="H15" s="25"/>
      <c r="I15" s="25"/>
      <c r="J15" s="20"/>
      <c r="K15" s="20"/>
      <c r="L15" s="26"/>
      <c r="M15" s="33" t="e">
        <f t="shared" si="0"/>
        <v>#DIV/0!</v>
      </c>
      <c r="N15" s="20"/>
      <c r="O15" s="26"/>
      <c r="P15" s="33" t="e">
        <f t="shared" si="1"/>
        <v>#DIV/0!</v>
      </c>
      <c r="Q15" s="20"/>
      <c r="R15" s="26"/>
      <c r="S15" s="33" t="e">
        <f t="shared" si="2"/>
        <v>#DIV/0!</v>
      </c>
      <c r="T15" s="20"/>
      <c r="U15" s="26"/>
      <c r="V15" s="33" t="e">
        <f t="shared" si="3"/>
        <v>#DIV/0!</v>
      </c>
      <c r="W15" s="20"/>
      <c r="X15" s="26"/>
      <c r="Y15" s="33" t="e">
        <f t="shared" si="4"/>
        <v>#DIV/0!</v>
      </c>
      <c r="Z15" s="20"/>
      <c r="AA15" s="26"/>
      <c r="AB15" s="33" t="e">
        <f t="shared" si="5"/>
        <v>#DIV/0!</v>
      </c>
      <c r="AC15" s="20"/>
      <c r="AD15" s="26"/>
      <c r="AE15" s="33" t="e">
        <f t="shared" si="6"/>
        <v>#DIV/0!</v>
      </c>
      <c r="AF15" s="20"/>
      <c r="AG15" s="26"/>
      <c r="AH15" s="33" t="e">
        <f t="shared" si="7"/>
        <v>#DIV/0!</v>
      </c>
      <c r="AI15" s="20"/>
      <c r="AJ15" s="26"/>
      <c r="AK15" s="33" t="e">
        <f t="shared" si="8"/>
        <v>#DIV/0!</v>
      </c>
      <c r="AL15" s="20"/>
      <c r="AM15" s="26"/>
      <c r="AN15" s="33" t="e">
        <f t="shared" si="9"/>
        <v>#DIV/0!</v>
      </c>
      <c r="AO15" s="20"/>
      <c r="AP15" s="26"/>
      <c r="AQ15" s="33" t="e">
        <f t="shared" si="10"/>
        <v>#DIV/0!</v>
      </c>
      <c r="AR15" s="20"/>
      <c r="AS15" s="26"/>
      <c r="AT15" s="33" t="e">
        <f t="shared" si="11"/>
        <v>#DIV/0!</v>
      </c>
      <c r="AU15" s="32">
        <f t="shared" si="12"/>
        <v>0</v>
      </c>
      <c r="AV15" s="32">
        <f t="shared" si="13"/>
        <v>0</v>
      </c>
      <c r="AW15" s="33" t="e">
        <f t="shared" si="14"/>
        <v>#DIV/0!</v>
      </c>
      <c r="AX15" s="32">
        <f t="shared" si="15"/>
        <v>0</v>
      </c>
      <c r="AY15" s="33" t="e">
        <f t="shared" si="16"/>
        <v>#DIV/0!</v>
      </c>
    </row>
    <row r="16" spans="1:51">
      <c r="A16" s="23">
        <v>15</v>
      </c>
      <c r="B16" s="24"/>
      <c r="C16" s="24"/>
      <c r="D16" s="23"/>
      <c r="E16" s="23"/>
      <c r="F16" s="23"/>
      <c r="G16" s="23"/>
      <c r="H16" s="25"/>
      <c r="I16" s="25"/>
      <c r="J16" s="20"/>
      <c r="K16" s="20"/>
      <c r="L16" s="26"/>
      <c r="M16" s="33" t="e">
        <f t="shared" si="0"/>
        <v>#DIV/0!</v>
      </c>
      <c r="N16" s="20"/>
      <c r="O16" s="26"/>
      <c r="P16" s="33" t="e">
        <f t="shared" si="1"/>
        <v>#DIV/0!</v>
      </c>
      <c r="Q16" s="20"/>
      <c r="R16" s="26"/>
      <c r="S16" s="33" t="e">
        <f t="shared" si="2"/>
        <v>#DIV/0!</v>
      </c>
      <c r="T16" s="20"/>
      <c r="U16" s="26"/>
      <c r="V16" s="33" t="e">
        <f t="shared" si="3"/>
        <v>#DIV/0!</v>
      </c>
      <c r="W16" s="20"/>
      <c r="X16" s="26"/>
      <c r="Y16" s="33" t="e">
        <f t="shared" si="4"/>
        <v>#DIV/0!</v>
      </c>
      <c r="Z16" s="20"/>
      <c r="AA16" s="26"/>
      <c r="AB16" s="33" t="e">
        <f t="shared" si="5"/>
        <v>#DIV/0!</v>
      </c>
      <c r="AC16" s="20"/>
      <c r="AD16" s="26"/>
      <c r="AE16" s="33" t="e">
        <f t="shared" si="6"/>
        <v>#DIV/0!</v>
      </c>
      <c r="AF16" s="20"/>
      <c r="AG16" s="26"/>
      <c r="AH16" s="33" t="e">
        <f t="shared" si="7"/>
        <v>#DIV/0!</v>
      </c>
      <c r="AI16" s="20"/>
      <c r="AJ16" s="26"/>
      <c r="AK16" s="33" t="e">
        <f t="shared" si="8"/>
        <v>#DIV/0!</v>
      </c>
      <c r="AL16" s="20"/>
      <c r="AM16" s="26"/>
      <c r="AN16" s="33" t="e">
        <f t="shared" si="9"/>
        <v>#DIV/0!</v>
      </c>
      <c r="AO16" s="20"/>
      <c r="AP16" s="26"/>
      <c r="AQ16" s="33" t="e">
        <f t="shared" si="10"/>
        <v>#DIV/0!</v>
      </c>
      <c r="AR16" s="20"/>
      <c r="AS16" s="26"/>
      <c r="AT16" s="33" t="e">
        <f t="shared" si="11"/>
        <v>#DIV/0!</v>
      </c>
      <c r="AU16" s="32">
        <f t="shared" si="12"/>
        <v>0</v>
      </c>
      <c r="AV16" s="32">
        <f t="shared" si="13"/>
        <v>0</v>
      </c>
      <c r="AW16" s="33" t="e">
        <f t="shared" si="14"/>
        <v>#DIV/0!</v>
      </c>
      <c r="AX16" s="32">
        <f t="shared" si="15"/>
        <v>0</v>
      </c>
      <c r="AY16" s="33" t="e">
        <f t="shared" si="16"/>
        <v>#DIV/0!</v>
      </c>
    </row>
    <row r="17" spans="1:51">
      <c r="A17" s="23">
        <v>16</v>
      </c>
      <c r="B17" s="24"/>
      <c r="C17" s="24"/>
      <c r="D17" s="23"/>
      <c r="E17" s="23"/>
      <c r="F17" s="23"/>
      <c r="G17" s="23"/>
      <c r="H17" s="25"/>
      <c r="I17" s="25"/>
      <c r="J17" s="20"/>
      <c r="K17" s="20"/>
      <c r="L17" s="26"/>
      <c r="M17" s="33" t="e">
        <f t="shared" si="0"/>
        <v>#DIV/0!</v>
      </c>
      <c r="N17" s="20"/>
      <c r="O17" s="26"/>
      <c r="P17" s="33" t="e">
        <f t="shared" si="1"/>
        <v>#DIV/0!</v>
      </c>
      <c r="Q17" s="20"/>
      <c r="R17" s="26"/>
      <c r="S17" s="33" t="e">
        <f t="shared" si="2"/>
        <v>#DIV/0!</v>
      </c>
      <c r="T17" s="20"/>
      <c r="U17" s="26"/>
      <c r="V17" s="33" t="e">
        <f t="shared" si="3"/>
        <v>#DIV/0!</v>
      </c>
      <c r="W17" s="20"/>
      <c r="X17" s="26"/>
      <c r="Y17" s="33" t="e">
        <f t="shared" si="4"/>
        <v>#DIV/0!</v>
      </c>
      <c r="Z17" s="20"/>
      <c r="AA17" s="26"/>
      <c r="AB17" s="33" t="e">
        <f t="shared" si="5"/>
        <v>#DIV/0!</v>
      </c>
      <c r="AC17" s="20"/>
      <c r="AD17" s="26"/>
      <c r="AE17" s="33" t="e">
        <f t="shared" si="6"/>
        <v>#DIV/0!</v>
      </c>
      <c r="AF17" s="20"/>
      <c r="AG17" s="26"/>
      <c r="AH17" s="33" t="e">
        <f t="shared" si="7"/>
        <v>#DIV/0!</v>
      </c>
      <c r="AI17" s="20"/>
      <c r="AJ17" s="26"/>
      <c r="AK17" s="33" t="e">
        <f t="shared" si="8"/>
        <v>#DIV/0!</v>
      </c>
      <c r="AL17" s="20"/>
      <c r="AM17" s="26"/>
      <c r="AN17" s="33" t="e">
        <f t="shared" si="9"/>
        <v>#DIV/0!</v>
      </c>
      <c r="AO17" s="20"/>
      <c r="AP17" s="26"/>
      <c r="AQ17" s="33" t="e">
        <f t="shared" si="10"/>
        <v>#DIV/0!</v>
      </c>
      <c r="AR17" s="20"/>
      <c r="AS17" s="26"/>
      <c r="AT17" s="33" t="e">
        <f t="shared" si="11"/>
        <v>#DIV/0!</v>
      </c>
      <c r="AU17" s="32">
        <f t="shared" si="12"/>
        <v>0</v>
      </c>
      <c r="AV17" s="32">
        <f t="shared" si="13"/>
        <v>0</v>
      </c>
      <c r="AW17" s="33" t="e">
        <f t="shared" si="14"/>
        <v>#DIV/0!</v>
      </c>
      <c r="AX17" s="32">
        <f t="shared" si="15"/>
        <v>0</v>
      </c>
      <c r="AY17" s="33" t="e">
        <f t="shared" si="16"/>
        <v>#DIV/0!</v>
      </c>
    </row>
    <row r="18" spans="1:51">
      <c r="A18" s="23">
        <v>17</v>
      </c>
      <c r="B18" s="24"/>
      <c r="C18" s="24"/>
      <c r="D18" s="23"/>
      <c r="E18" s="23"/>
      <c r="F18" s="23"/>
      <c r="G18" s="23"/>
      <c r="H18" s="25"/>
      <c r="I18" s="25"/>
      <c r="J18" s="20"/>
      <c r="K18" s="20"/>
      <c r="L18" s="26"/>
      <c r="M18" s="33" t="e">
        <f t="shared" si="0"/>
        <v>#DIV/0!</v>
      </c>
      <c r="N18" s="20"/>
      <c r="O18" s="26"/>
      <c r="P18" s="33" t="e">
        <f t="shared" si="1"/>
        <v>#DIV/0!</v>
      </c>
      <c r="Q18" s="20"/>
      <c r="R18" s="26"/>
      <c r="S18" s="33" t="e">
        <f t="shared" si="2"/>
        <v>#DIV/0!</v>
      </c>
      <c r="T18" s="20"/>
      <c r="U18" s="26"/>
      <c r="V18" s="33" t="e">
        <f t="shared" si="3"/>
        <v>#DIV/0!</v>
      </c>
      <c r="W18" s="20"/>
      <c r="X18" s="26"/>
      <c r="Y18" s="33" t="e">
        <f t="shared" si="4"/>
        <v>#DIV/0!</v>
      </c>
      <c r="Z18" s="20"/>
      <c r="AA18" s="26"/>
      <c r="AB18" s="33" t="e">
        <f t="shared" si="5"/>
        <v>#DIV/0!</v>
      </c>
      <c r="AC18" s="20"/>
      <c r="AD18" s="26"/>
      <c r="AE18" s="33" t="e">
        <f t="shared" si="6"/>
        <v>#DIV/0!</v>
      </c>
      <c r="AF18" s="20"/>
      <c r="AG18" s="26"/>
      <c r="AH18" s="33" t="e">
        <f t="shared" si="7"/>
        <v>#DIV/0!</v>
      </c>
      <c r="AI18" s="20"/>
      <c r="AJ18" s="26"/>
      <c r="AK18" s="33" t="e">
        <f t="shared" si="8"/>
        <v>#DIV/0!</v>
      </c>
      <c r="AL18" s="20"/>
      <c r="AM18" s="26"/>
      <c r="AN18" s="33" t="e">
        <f t="shared" si="9"/>
        <v>#DIV/0!</v>
      </c>
      <c r="AO18" s="20"/>
      <c r="AP18" s="26"/>
      <c r="AQ18" s="33" t="e">
        <f t="shared" si="10"/>
        <v>#DIV/0!</v>
      </c>
      <c r="AR18" s="20"/>
      <c r="AS18" s="26"/>
      <c r="AT18" s="33" t="e">
        <f t="shared" si="11"/>
        <v>#DIV/0!</v>
      </c>
      <c r="AU18" s="32">
        <f t="shared" si="12"/>
        <v>0</v>
      </c>
      <c r="AV18" s="32">
        <f t="shared" si="13"/>
        <v>0</v>
      </c>
      <c r="AW18" s="33" t="e">
        <f t="shared" si="14"/>
        <v>#DIV/0!</v>
      </c>
      <c r="AX18" s="32">
        <f t="shared" si="15"/>
        <v>0</v>
      </c>
      <c r="AY18" s="33" t="e">
        <f t="shared" si="16"/>
        <v>#DIV/0!</v>
      </c>
    </row>
    <row r="19" spans="1:51">
      <c r="A19" s="23">
        <v>18</v>
      </c>
      <c r="B19" s="24"/>
      <c r="C19" s="24"/>
      <c r="D19" s="23"/>
      <c r="E19" s="23"/>
      <c r="F19" s="23"/>
      <c r="G19" s="23"/>
      <c r="H19" s="25"/>
      <c r="I19" s="25"/>
      <c r="J19" s="20"/>
      <c r="K19" s="20"/>
      <c r="L19" s="26"/>
      <c r="M19" s="33" t="e">
        <f t="shared" si="0"/>
        <v>#DIV/0!</v>
      </c>
      <c r="N19" s="20"/>
      <c r="O19" s="26"/>
      <c r="P19" s="33" t="e">
        <f t="shared" si="1"/>
        <v>#DIV/0!</v>
      </c>
      <c r="Q19" s="20"/>
      <c r="R19" s="26"/>
      <c r="S19" s="33" t="e">
        <f t="shared" si="2"/>
        <v>#DIV/0!</v>
      </c>
      <c r="T19" s="20"/>
      <c r="U19" s="26"/>
      <c r="V19" s="33" t="e">
        <f t="shared" si="3"/>
        <v>#DIV/0!</v>
      </c>
      <c r="W19" s="20"/>
      <c r="X19" s="26"/>
      <c r="Y19" s="33" t="e">
        <f t="shared" si="4"/>
        <v>#DIV/0!</v>
      </c>
      <c r="Z19" s="20"/>
      <c r="AA19" s="26"/>
      <c r="AB19" s="33" t="e">
        <f t="shared" si="5"/>
        <v>#DIV/0!</v>
      </c>
      <c r="AC19" s="20"/>
      <c r="AD19" s="26"/>
      <c r="AE19" s="33" t="e">
        <f t="shared" si="6"/>
        <v>#DIV/0!</v>
      </c>
      <c r="AF19" s="20"/>
      <c r="AG19" s="26"/>
      <c r="AH19" s="33" t="e">
        <f t="shared" si="7"/>
        <v>#DIV/0!</v>
      </c>
      <c r="AI19" s="20"/>
      <c r="AJ19" s="26"/>
      <c r="AK19" s="33" t="e">
        <f t="shared" si="8"/>
        <v>#DIV/0!</v>
      </c>
      <c r="AL19" s="20"/>
      <c r="AM19" s="26"/>
      <c r="AN19" s="33" t="e">
        <f t="shared" si="9"/>
        <v>#DIV/0!</v>
      </c>
      <c r="AO19" s="20"/>
      <c r="AP19" s="26"/>
      <c r="AQ19" s="33" t="e">
        <f t="shared" si="10"/>
        <v>#DIV/0!</v>
      </c>
      <c r="AR19" s="20"/>
      <c r="AS19" s="26"/>
      <c r="AT19" s="33" t="e">
        <f t="shared" si="11"/>
        <v>#DIV/0!</v>
      </c>
      <c r="AU19" s="32">
        <f t="shared" si="12"/>
        <v>0</v>
      </c>
      <c r="AV19" s="32">
        <f t="shared" si="13"/>
        <v>0</v>
      </c>
      <c r="AW19" s="33" t="e">
        <f t="shared" si="14"/>
        <v>#DIV/0!</v>
      </c>
      <c r="AX19" s="32">
        <f t="shared" si="15"/>
        <v>0</v>
      </c>
      <c r="AY19" s="33" t="e">
        <f t="shared" si="16"/>
        <v>#DIV/0!</v>
      </c>
    </row>
    <row r="20" spans="1:51">
      <c r="A20" s="23">
        <v>19</v>
      </c>
      <c r="B20" s="24"/>
      <c r="C20" s="24"/>
      <c r="D20" s="23"/>
      <c r="E20" s="23"/>
      <c r="F20" s="23"/>
      <c r="G20" s="23"/>
      <c r="H20" s="72"/>
      <c r="I20" s="72"/>
      <c r="J20" s="20"/>
      <c r="K20" s="20"/>
      <c r="L20" s="26"/>
      <c r="M20" s="33" t="e">
        <f t="shared" si="0"/>
        <v>#DIV/0!</v>
      </c>
      <c r="N20" s="20"/>
      <c r="O20" s="26"/>
      <c r="P20" s="33" t="e">
        <f t="shared" si="1"/>
        <v>#DIV/0!</v>
      </c>
      <c r="Q20" s="20"/>
      <c r="R20" s="26"/>
      <c r="S20" s="33" t="e">
        <f t="shared" si="2"/>
        <v>#DIV/0!</v>
      </c>
      <c r="T20" s="20"/>
      <c r="U20" s="26"/>
      <c r="V20" s="33" t="e">
        <f t="shared" si="3"/>
        <v>#DIV/0!</v>
      </c>
      <c r="W20" s="20"/>
      <c r="X20" s="26"/>
      <c r="Y20" s="33" t="e">
        <f t="shared" si="4"/>
        <v>#DIV/0!</v>
      </c>
      <c r="Z20" s="20"/>
      <c r="AA20" s="26"/>
      <c r="AB20" s="33" t="e">
        <f t="shared" si="5"/>
        <v>#DIV/0!</v>
      </c>
      <c r="AC20" s="20"/>
      <c r="AD20" s="26"/>
      <c r="AE20" s="33" t="e">
        <f t="shared" si="6"/>
        <v>#DIV/0!</v>
      </c>
      <c r="AF20" s="20"/>
      <c r="AG20" s="26"/>
      <c r="AH20" s="33" t="e">
        <f t="shared" si="7"/>
        <v>#DIV/0!</v>
      </c>
      <c r="AI20" s="20"/>
      <c r="AJ20" s="26"/>
      <c r="AK20" s="33" t="e">
        <f t="shared" si="8"/>
        <v>#DIV/0!</v>
      </c>
      <c r="AL20" s="20"/>
      <c r="AM20" s="26"/>
      <c r="AN20" s="33" t="e">
        <f t="shared" si="9"/>
        <v>#DIV/0!</v>
      </c>
      <c r="AO20" s="20"/>
      <c r="AP20" s="26"/>
      <c r="AQ20" s="33" t="e">
        <f t="shared" si="10"/>
        <v>#DIV/0!</v>
      </c>
      <c r="AR20" s="20"/>
      <c r="AS20" s="26"/>
      <c r="AT20" s="33" t="e">
        <f t="shared" si="11"/>
        <v>#DIV/0!</v>
      </c>
      <c r="AU20" s="32">
        <f t="shared" si="12"/>
        <v>0</v>
      </c>
      <c r="AV20" s="32">
        <f t="shared" si="13"/>
        <v>0</v>
      </c>
      <c r="AW20" s="33" t="e">
        <f t="shared" si="14"/>
        <v>#DIV/0!</v>
      </c>
      <c r="AX20" s="32">
        <f t="shared" si="15"/>
        <v>0</v>
      </c>
      <c r="AY20" s="33" t="e">
        <f t="shared" si="16"/>
        <v>#DIV/0!</v>
      </c>
    </row>
    <row r="21" spans="1:51">
      <c r="A21" s="23">
        <v>20</v>
      </c>
      <c r="B21" s="24"/>
      <c r="C21" s="24"/>
      <c r="D21" s="23"/>
      <c r="E21" s="23"/>
      <c r="F21" s="23"/>
      <c r="G21" s="23"/>
      <c r="H21" s="72"/>
      <c r="I21" s="72"/>
      <c r="J21" s="20"/>
      <c r="K21" s="20"/>
      <c r="L21" s="26"/>
      <c r="M21" s="33" t="e">
        <f t="shared" si="0"/>
        <v>#DIV/0!</v>
      </c>
      <c r="N21" s="20"/>
      <c r="O21" s="26"/>
      <c r="P21" s="33" t="e">
        <f t="shared" si="1"/>
        <v>#DIV/0!</v>
      </c>
      <c r="Q21" s="20"/>
      <c r="R21" s="26"/>
      <c r="S21" s="33" t="e">
        <f t="shared" si="2"/>
        <v>#DIV/0!</v>
      </c>
      <c r="T21" s="20"/>
      <c r="U21" s="26"/>
      <c r="V21" s="33" t="e">
        <f t="shared" si="3"/>
        <v>#DIV/0!</v>
      </c>
      <c r="W21" s="20"/>
      <c r="X21" s="26"/>
      <c r="Y21" s="33" t="e">
        <f t="shared" si="4"/>
        <v>#DIV/0!</v>
      </c>
      <c r="Z21" s="20"/>
      <c r="AA21" s="26"/>
      <c r="AB21" s="33" t="e">
        <f t="shared" si="5"/>
        <v>#DIV/0!</v>
      </c>
      <c r="AC21" s="20"/>
      <c r="AD21" s="26"/>
      <c r="AE21" s="33" t="e">
        <f t="shared" si="6"/>
        <v>#DIV/0!</v>
      </c>
      <c r="AF21" s="20"/>
      <c r="AG21" s="26"/>
      <c r="AH21" s="33" t="e">
        <f t="shared" si="7"/>
        <v>#DIV/0!</v>
      </c>
      <c r="AI21" s="20"/>
      <c r="AJ21" s="26"/>
      <c r="AK21" s="33" t="e">
        <f t="shared" si="8"/>
        <v>#DIV/0!</v>
      </c>
      <c r="AL21" s="20"/>
      <c r="AM21" s="26"/>
      <c r="AN21" s="33" t="e">
        <f t="shared" si="9"/>
        <v>#DIV/0!</v>
      </c>
      <c r="AO21" s="20"/>
      <c r="AP21" s="26"/>
      <c r="AQ21" s="33" t="e">
        <f t="shared" si="10"/>
        <v>#DIV/0!</v>
      </c>
      <c r="AR21" s="20"/>
      <c r="AS21" s="26"/>
      <c r="AT21" s="33" t="e">
        <f t="shared" si="11"/>
        <v>#DIV/0!</v>
      </c>
      <c r="AU21" s="32">
        <f t="shared" si="12"/>
        <v>0</v>
      </c>
      <c r="AV21" s="32">
        <f t="shared" si="13"/>
        <v>0</v>
      </c>
      <c r="AW21" s="33" t="e">
        <f t="shared" si="14"/>
        <v>#DIV/0!</v>
      </c>
      <c r="AX21" s="32">
        <f t="shared" si="15"/>
        <v>0</v>
      </c>
      <c r="AY21" s="33" t="e">
        <f t="shared" si="16"/>
        <v>#DIV/0!</v>
      </c>
    </row>
    <row r="22" spans="1:51">
      <c r="A22" s="23"/>
      <c r="B22" s="24"/>
      <c r="C22" s="24"/>
      <c r="D22" s="23"/>
      <c r="E22" s="23"/>
      <c r="F22" s="23"/>
      <c r="G22" s="23"/>
      <c r="H22" s="25"/>
      <c r="I22" s="25"/>
      <c r="J22" s="20"/>
      <c r="K22" s="20"/>
      <c r="L22" s="26"/>
      <c r="M22" s="33" t="e">
        <f t="shared" si="0"/>
        <v>#DIV/0!</v>
      </c>
      <c r="N22" s="20"/>
      <c r="O22" s="26"/>
      <c r="P22" s="33" t="e">
        <f t="shared" si="1"/>
        <v>#DIV/0!</v>
      </c>
      <c r="Q22" s="20"/>
      <c r="R22" s="26"/>
      <c r="S22" s="33" t="e">
        <f t="shared" si="2"/>
        <v>#DIV/0!</v>
      </c>
      <c r="T22" s="20"/>
      <c r="U22" s="26"/>
      <c r="V22" s="33" t="e">
        <f t="shared" si="3"/>
        <v>#DIV/0!</v>
      </c>
      <c r="W22" s="20"/>
      <c r="X22" s="26"/>
      <c r="Y22" s="33" t="e">
        <f t="shared" si="4"/>
        <v>#DIV/0!</v>
      </c>
      <c r="Z22" s="20"/>
      <c r="AA22" s="26"/>
      <c r="AB22" s="33" t="e">
        <f t="shared" si="5"/>
        <v>#DIV/0!</v>
      </c>
      <c r="AC22" s="20"/>
      <c r="AD22" s="26"/>
      <c r="AE22" s="33" t="e">
        <f t="shared" si="6"/>
        <v>#DIV/0!</v>
      </c>
      <c r="AF22" s="20"/>
      <c r="AG22" s="26"/>
      <c r="AH22" s="33" t="e">
        <f t="shared" si="7"/>
        <v>#DIV/0!</v>
      </c>
      <c r="AI22" s="20"/>
      <c r="AJ22" s="26"/>
      <c r="AK22" s="33" t="e">
        <f t="shared" si="8"/>
        <v>#DIV/0!</v>
      </c>
      <c r="AL22" s="20"/>
      <c r="AM22" s="26"/>
      <c r="AN22" s="33" t="e">
        <f t="shared" si="9"/>
        <v>#DIV/0!</v>
      </c>
      <c r="AO22" s="20"/>
      <c r="AP22" s="26"/>
      <c r="AQ22" s="33" t="e">
        <f t="shared" si="10"/>
        <v>#DIV/0!</v>
      </c>
      <c r="AR22" s="20"/>
      <c r="AS22" s="26"/>
      <c r="AT22" s="33" t="e">
        <f t="shared" si="11"/>
        <v>#DIV/0!</v>
      </c>
      <c r="AU22" s="32">
        <f t="shared" si="12"/>
        <v>0</v>
      </c>
      <c r="AV22" s="32">
        <f t="shared" si="13"/>
        <v>0</v>
      </c>
      <c r="AW22" s="33" t="e">
        <f t="shared" si="14"/>
        <v>#DIV/0!</v>
      </c>
      <c r="AX22" s="32">
        <f t="shared" si="15"/>
        <v>0</v>
      </c>
      <c r="AY22" s="33" t="e">
        <f t="shared" si="16"/>
        <v>#DIV/0!</v>
      </c>
    </row>
    <row r="23" spans="1:51">
      <c r="A23" s="23"/>
      <c r="B23" s="24"/>
      <c r="C23" s="24"/>
      <c r="D23" s="23"/>
      <c r="E23" s="23"/>
      <c r="F23" s="23"/>
      <c r="G23" s="23"/>
      <c r="H23" s="25"/>
      <c r="I23" s="25"/>
      <c r="J23" s="20"/>
      <c r="K23" s="20"/>
      <c r="L23" s="26"/>
      <c r="M23" s="33" t="e">
        <f t="shared" si="0"/>
        <v>#DIV/0!</v>
      </c>
      <c r="N23" s="20"/>
      <c r="O23" s="26"/>
      <c r="P23" s="33" t="e">
        <f t="shared" si="1"/>
        <v>#DIV/0!</v>
      </c>
      <c r="Q23" s="20"/>
      <c r="R23" s="26"/>
      <c r="S23" s="33" t="e">
        <f t="shared" si="2"/>
        <v>#DIV/0!</v>
      </c>
      <c r="T23" s="20"/>
      <c r="U23" s="26"/>
      <c r="V23" s="33" t="e">
        <f t="shared" si="3"/>
        <v>#DIV/0!</v>
      </c>
      <c r="W23" s="20"/>
      <c r="X23" s="26"/>
      <c r="Y23" s="33" t="e">
        <f t="shared" si="4"/>
        <v>#DIV/0!</v>
      </c>
      <c r="Z23" s="20"/>
      <c r="AA23" s="26"/>
      <c r="AB23" s="33" t="e">
        <f t="shared" si="5"/>
        <v>#DIV/0!</v>
      </c>
      <c r="AC23" s="20"/>
      <c r="AD23" s="26"/>
      <c r="AE23" s="33" t="e">
        <f t="shared" si="6"/>
        <v>#DIV/0!</v>
      </c>
      <c r="AF23" s="20"/>
      <c r="AG23" s="26"/>
      <c r="AH23" s="33" t="e">
        <f t="shared" si="7"/>
        <v>#DIV/0!</v>
      </c>
      <c r="AI23" s="20"/>
      <c r="AJ23" s="26"/>
      <c r="AK23" s="33" t="e">
        <f t="shared" si="8"/>
        <v>#DIV/0!</v>
      </c>
      <c r="AL23" s="20"/>
      <c r="AM23" s="26"/>
      <c r="AN23" s="33" t="e">
        <f t="shared" si="9"/>
        <v>#DIV/0!</v>
      </c>
      <c r="AO23" s="20"/>
      <c r="AP23" s="26"/>
      <c r="AQ23" s="33" t="e">
        <f t="shared" si="10"/>
        <v>#DIV/0!</v>
      </c>
      <c r="AR23" s="20"/>
      <c r="AS23" s="26"/>
      <c r="AT23" s="33" t="e">
        <f t="shared" si="11"/>
        <v>#DIV/0!</v>
      </c>
      <c r="AU23" s="32">
        <f t="shared" si="12"/>
        <v>0</v>
      </c>
      <c r="AV23" s="32">
        <f t="shared" si="13"/>
        <v>0</v>
      </c>
      <c r="AW23" s="33" t="e">
        <f t="shared" si="14"/>
        <v>#DIV/0!</v>
      </c>
      <c r="AX23" s="32">
        <f t="shared" si="15"/>
        <v>0</v>
      </c>
      <c r="AY23" s="33" t="e">
        <f t="shared" si="16"/>
        <v>#DIV/0!</v>
      </c>
    </row>
    <row r="24" spans="1:51">
      <c r="B24" s="29" t="s">
        <v>77</v>
      </c>
      <c r="I24" s="29" t="s">
        <v>77</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7.100000000000001">
      <c r="J27" s="31"/>
    </row>
  </sheetData>
  <phoneticPr fontId="10"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73ECF2104B6C441853D544ED56DDF03" ma:contentTypeVersion="0" ma:contentTypeDescription="Create a new document." ma:contentTypeScope="" ma:versionID="0626e460313dcc6938bb1c160e641e78">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064BBF-06E1-463F-81D1-E122804625B9}">
  <ds:schemaRefs>
    <ds:schemaRef ds:uri="http://purl.org/dc/terms/"/>
    <ds:schemaRef ds:uri="http://purl.org/dc/dcmitype/"/>
    <ds:schemaRef ds:uri="http://www.w3.org/XML/1998/namespace"/>
    <ds:schemaRef ds:uri="http://purl.org/dc/elements/1.1/"/>
    <ds:schemaRef ds:uri="http://schemas.microsoft.com/office/2006/documentManagement/types"/>
    <ds:schemaRef ds:uri="http://schemas.microsoft.com/office/infopath/2007/PartnerControls"/>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7F501F5C-E745-4621-87AF-C8E6876739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577BA503-B59A-42B4-82C2-840E9B0644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 Web App</Application>
  <Manager/>
  <Company>UPS</Company>
  <HyperlinkBase/>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Quek Seow Chuan Jimmy (SFT8MZQ)</dc:creator>
  <cp:keywords/>
  <dc:description/>
  <cp:lastModifiedBy>Jay</cp:lastModifiedBy>
  <dcterms:created xsi:type="dcterms:W3CDTF">2020-01-23T02:17:05Z</dcterms:created>
  <dcterms:modified xsi:type="dcterms:W3CDTF">2022-03-10T01:37:11Z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0x010100573ECF2104B6C441853D544ED56DDF03</vt:lpwstr>
  </property>
</Properties>
</file>